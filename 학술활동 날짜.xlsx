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\Desktop\수업\HAM_Seminar_2026_1\"/>
    </mc:Choice>
  </mc:AlternateContent>
  <xr:revisionPtr revIDLastSave="0" documentId="13_ncr:1_{015C2D0B-E0EC-4408-8F83-21FA48D7C926}" xr6:coauthVersionLast="47" xr6:coauthVersionMax="47" xr10:uidLastSave="{00000000-0000-0000-0000-000000000000}"/>
  <bookViews>
    <workbookView xWindow="-105" yWindow="0" windowWidth="14610" windowHeight="15585" tabRatio="554" xr2:uid="{94DD35A4-0124-414D-8752-A9AE9C647E6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56" i="1" l="1"/>
  <c r="L56" i="1"/>
  <c r="M56" i="1"/>
  <c r="N56" i="1"/>
  <c r="O56" i="1"/>
  <c r="P56" i="1"/>
  <c r="Q56" i="1"/>
  <c r="R56" i="1"/>
  <c r="K7" i="1"/>
  <c r="L7" i="1"/>
  <c r="M7" i="1"/>
  <c r="N7" i="1"/>
  <c r="O7" i="1"/>
  <c r="P7" i="1"/>
  <c r="Q7" i="1"/>
  <c r="R7" i="1"/>
  <c r="K8" i="1"/>
  <c r="L8" i="1"/>
  <c r="M8" i="1"/>
  <c r="N8" i="1"/>
  <c r="O8" i="1"/>
  <c r="P8" i="1"/>
  <c r="Q8" i="1"/>
  <c r="R8" i="1"/>
  <c r="K9" i="1"/>
  <c r="L9" i="1"/>
  <c r="M9" i="1"/>
  <c r="N9" i="1"/>
  <c r="O9" i="1"/>
  <c r="P9" i="1"/>
  <c r="Q9" i="1"/>
  <c r="R9" i="1"/>
  <c r="K10" i="1"/>
  <c r="L10" i="1"/>
  <c r="M10" i="1"/>
  <c r="N10" i="1"/>
  <c r="O10" i="1"/>
  <c r="P10" i="1"/>
  <c r="Q10" i="1"/>
  <c r="R10" i="1"/>
  <c r="K11" i="1"/>
  <c r="L11" i="1"/>
  <c r="M11" i="1"/>
  <c r="N11" i="1"/>
  <c r="O11" i="1"/>
  <c r="P11" i="1"/>
  <c r="Q11" i="1"/>
  <c r="R11" i="1"/>
  <c r="K12" i="1"/>
  <c r="L12" i="1"/>
  <c r="M12" i="1"/>
  <c r="N12" i="1"/>
  <c r="O12" i="1"/>
  <c r="P12" i="1"/>
  <c r="Q12" i="1"/>
  <c r="R12" i="1"/>
  <c r="K13" i="1"/>
  <c r="L13" i="1"/>
  <c r="M13" i="1"/>
  <c r="N13" i="1"/>
  <c r="O13" i="1"/>
  <c r="P13" i="1"/>
  <c r="Q13" i="1"/>
  <c r="R13" i="1"/>
  <c r="K14" i="1"/>
  <c r="L14" i="1"/>
  <c r="M14" i="1"/>
  <c r="N14" i="1"/>
  <c r="O14" i="1"/>
  <c r="P14" i="1"/>
  <c r="Q14" i="1"/>
  <c r="R14" i="1"/>
  <c r="K15" i="1"/>
  <c r="L15" i="1"/>
  <c r="M15" i="1"/>
  <c r="N15" i="1"/>
  <c r="O15" i="1"/>
  <c r="P15" i="1"/>
  <c r="Q15" i="1"/>
  <c r="R15" i="1"/>
  <c r="K16" i="1"/>
  <c r="L16" i="1"/>
  <c r="M16" i="1"/>
  <c r="N16" i="1"/>
  <c r="O16" i="1"/>
  <c r="P16" i="1"/>
  <c r="Q16" i="1"/>
  <c r="R16" i="1"/>
  <c r="K17" i="1"/>
  <c r="L17" i="1"/>
  <c r="M17" i="1"/>
  <c r="N17" i="1"/>
  <c r="O17" i="1"/>
  <c r="P17" i="1"/>
  <c r="Q17" i="1"/>
  <c r="R17" i="1"/>
  <c r="K18" i="1"/>
  <c r="L18" i="1"/>
  <c r="M18" i="1"/>
  <c r="N18" i="1"/>
  <c r="O18" i="1"/>
  <c r="P18" i="1"/>
  <c r="Q18" i="1"/>
  <c r="R18" i="1"/>
  <c r="K19" i="1"/>
  <c r="L19" i="1"/>
  <c r="M19" i="1"/>
  <c r="N19" i="1"/>
  <c r="O19" i="1"/>
  <c r="P19" i="1"/>
  <c r="Q19" i="1"/>
  <c r="R19" i="1"/>
  <c r="K20" i="1"/>
  <c r="L20" i="1"/>
  <c r="M20" i="1"/>
  <c r="N20" i="1"/>
  <c r="O20" i="1"/>
  <c r="P20" i="1"/>
  <c r="Q20" i="1"/>
  <c r="R20" i="1"/>
  <c r="K21" i="1"/>
  <c r="L21" i="1"/>
  <c r="M21" i="1"/>
  <c r="N21" i="1"/>
  <c r="O21" i="1"/>
  <c r="P21" i="1"/>
  <c r="Q21" i="1"/>
  <c r="R21" i="1"/>
  <c r="K22" i="1"/>
  <c r="L22" i="1"/>
  <c r="M22" i="1"/>
  <c r="N22" i="1"/>
  <c r="O22" i="1"/>
  <c r="P22" i="1"/>
  <c r="Q22" i="1"/>
  <c r="R22" i="1"/>
  <c r="K23" i="1"/>
  <c r="L23" i="1"/>
  <c r="M23" i="1"/>
  <c r="N23" i="1"/>
  <c r="O23" i="1"/>
  <c r="P23" i="1"/>
  <c r="Q23" i="1"/>
  <c r="R23" i="1"/>
  <c r="K24" i="1"/>
  <c r="L24" i="1"/>
  <c r="M24" i="1"/>
  <c r="N24" i="1"/>
  <c r="O24" i="1"/>
  <c r="P24" i="1"/>
  <c r="Q24" i="1"/>
  <c r="R24" i="1"/>
  <c r="K25" i="1"/>
  <c r="L25" i="1"/>
  <c r="M25" i="1"/>
  <c r="N25" i="1"/>
  <c r="O25" i="1"/>
  <c r="P25" i="1"/>
  <c r="Q25" i="1"/>
  <c r="R25" i="1"/>
  <c r="K26" i="1"/>
  <c r="L26" i="1"/>
  <c r="M26" i="1"/>
  <c r="N26" i="1"/>
  <c r="O26" i="1"/>
  <c r="P26" i="1"/>
  <c r="Q26" i="1"/>
  <c r="R26" i="1"/>
  <c r="K27" i="1"/>
  <c r="L27" i="1"/>
  <c r="M27" i="1"/>
  <c r="N27" i="1"/>
  <c r="O27" i="1"/>
  <c r="P27" i="1"/>
  <c r="Q27" i="1"/>
  <c r="R27" i="1"/>
  <c r="K28" i="1"/>
  <c r="L28" i="1"/>
  <c r="M28" i="1"/>
  <c r="N28" i="1"/>
  <c r="O28" i="1"/>
  <c r="P28" i="1"/>
  <c r="Q28" i="1"/>
  <c r="R28" i="1"/>
  <c r="K29" i="1"/>
  <c r="L29" i="1"/>
  <c r="M29" i="1"/>
  <c r="N29" i="1"/>
  <c r="O29" i="1"/>
  <c r="P29" i="1"/>
  <c r="Q29" i="1"/>
  <c r="R29" i="1"/>
  <c r="K30" i="1"/>
  <c r="L30" i="1"/>
  <c r="M30" i="1"/>
  <c r="N30" i="1"/>
  <c r="O30" i="1"/>
  <c r="P30" i="1"/>
  <c r="Q30" i="1"/>
  <c r="R30" i="1"/>
  <c r="K31" i="1"/>
  <c r="L31" i="1"/>
  <c r="M31" i="1"/>
  <c r="N31" i="1"/>
  <c r="O31" i="1"/>
  <c r="P31" i="1"/>
  <c r="Q31" i="1"/>
  <c r="R31" i="1"/>
  <c r="K32" i="1"/>
  <c r="L32" i="1"/>
  <c r="M32" i="1"/>
  <c r="N32" i="1"/>
  <c r="O32" i="1"/>
  <c r="P32" i="1"/>
  <c r="Q32" i="1"/>
  <c r="R32" i="1"/>
  <c r="K33" i="1"/>
  <c r="L33" i="1"/>
  <c r="M33" i="1"/>
  <c r="N33" i="1"/>
  <c r="O33" i="1"/>
  <c r="P33" i="1"/>
  <c r="Q33" i="1"/>
  <c r="R33" i="1"/>
  <c r="K34" i="1"/>
  <c r="L34" i="1"/>
  <c r="M34" i="1"/>
  <c r="N34" i="1"/>
  <c r="O34" i="1"/>
  <c r="P34" i="1"/>
  <c r="Q34" i="1"/>
  <c r="R34" i="1"/>
  <c r="K35" i="1"/>
  <c r="L35" i="1"/>
  <c r="M35" i="1"/>
  <c r="N35" i="1"/>
  <c r="O35" i="1"/>
  <c r="P35" i="1"/>
  <c r="Q35" i="1"/>
  <c r="R35" i="1"/>
  <c r="K36" i="1"/>
  <c r="L36" i="1"/>
  <c r="M36" i="1"/>
  <c r="N36" i="1"/>
  <c r="O36" i="1"/>
  <c r="P36" i="1"/>
  <c r="Q36" i="1"/>
  <c r="R36" i="1"/>
  <c r="K37" i="1"/>
  <c r="L37" i="1"/>
  <c r="M37" i="1"/>
  <c r="N37" i="1"/>
  <c r="O37" i="1"/>
  <c r="P37" i="1"/>
  <c r="Q37" i="1"/>
  <c r="R37" i="1"/>
  <c r="K38" i="1"/>
  <c r="L38" i="1"/>
  <c r="M38" i="1"/>
  <c r="N38" i="1"/>
  <c r="O38" i="1"/>
  <c r="P38" i="1"/>
  <c r="Q38" i="1"/>
  <c r="R38" i="1"/>
  <c r="K39" i="1"/>
  <c r="L39" i="1"/>
  <c r="M39" i="1"/>
  <c r="N39" i="1"/>
  <c r="O39" i="1"/>
  <c r="P39" i="1"/>
  <c r="Q39" i="1"/>
  <c r="R39" i="1"/>
  <c r="K40" i="1"/>
  <c r="L40" i="1"/>
  <c r="M40" i="1"/>
  <c r="N40" i="1"/>
  <c r="O40" i="1"/>
  <c r="P40" i="1"/>
  <c r="Q40" i="1"/>
  <c r="R40" i="1"/>
  <c r="K41" i="1"/>
  <c r="L41" i="1"/>
  <c r="M41" i="1"/>
  <c r="N41" i="1"/>
  <c r="O41" i="1"/>
  <c r="P41" i="1"/>
  <c r="Q41" i="1"/>
  <c r="R41" i="1"/>
  <c r="K42" i="1"/>
  <c r="L42" i="1"/>
  <c r="M42" i="1"/>
  <c r="N42" i="1"/>
  <c r="O42" i="1"/>
  <c r="P42" i="1"/>
  <c r="Q42" i="1"/>
  <c r="R42" i="1"/>
  <c r="K43" i="1"/>
  <c r="L43" i="1"/>
  <c r="M43" i="1"/>
  <c r="N43" i="1"/>
  <c r="O43" i="1"/>
  <c r="P43" i="1"/>
  <c r="Q43" i="1"/>
  <c r="R43" i="1"/>
  <c r="K44" i="1"/>
  <c r="L44" i="1"/>
  <c r="M44" i="1"/>
  <c r="N44" i="1"/>
  <c r="O44" i="1"/>
  <c r="P44" i="1"/>
  <c r="Q44" i="1"/>
  <c r="R44" i="1"/>
  <c r="K45" i="1"/>
  <c r="L45" i="1"/>
  <c r="M45" i="1"/>
  <c r="N45" i="1"/>
  <c r="O45" i="1"/>
  <c r="P45" i="1"/>
  <c r="Q45" i="1"/>
  <c r="R45" i="1"/>
  <c r="K46" i="1"/>
  <c r="L46" i="1"/>
  <c r="M46" i="1"/>
  <c r="N46" i="1"/>
  <c r="O46" i="1"/>
  <c r="P46" i="1"/>
  <c r="Q46" i="1"/>
  <c r="R46" i="1"/>
  <c r="K47" i="1"/>
  <c r="L47" i="1"/>
  <c r="M47" i="1"/>
  <c r="N47" i="1"/>
  <c r="O47" i="1"/>
  <c r="P47" i="1"/>
  <c r="Q47" i="1"/>
  <c r="R47" i="1"/>
  <c r="K48" i="1"/>
  <c r="L48" i="1"/>
  <c r="M48" i="1"/>
  <c r="N48" i="1"/>
  <c r="O48" i="1"/>
  <c r="P48" i="1"/>
  <c r="Q48" i="1"/>
  <c r="R48" i="1"/>
  <c r="K49" i="1"/>
  <c r="L49" i="1"/>
  <c r="M49" i="1"/>
  <c r="N49" i="1"/>
  <c r="O49" i="1"/>
  <c r="P49" i="1"/>
  <c r="Q49" i="1"/>
  <c r="R49" i="1"/>
  <c r="K50" i="1"/>
  <c r="L50" i="1"/>
  <c r="M50" i="1"/>
  <c r="N50" i="1"/>
  <c r="O50" i="1"/>
  <c r="P50" i="1"/>
  <c r="Q50" i="1"/>
  <c r="R50" i="1"/>
  <c r="K51" i="1"/>
  <c r="L51" i="1"/>
  <c r="M51" i="1"/>
  <c r="N51" i="1"/>
  <c r="O51" i="1"/>
  <c r="P51" i="1"/>
  <c r="Q51" i="1"/>
  <c r="R51" i="1"/>
  <c r="K52" i="1"/>
  <c r="L52" i="1"/>
  <c r="M52" i="1"/>
  <c r="N52" i="1"/>
  <c r="O52" i="1"/>
  <c r="P52" i="1"/>
  <c r="Q52" i="1"/>
  <c r="R52" i="1"/>
  <c r="K53" i="1"/>
  <c r="L53" i="1"/>
  <c r="M53" i="1"/>
  <c r="N53" i="1"/>
  <c r="O53" i="1"/>
  <c r="P53" i="1"/>
  <c r="Q53" i="1"/>
  <c r="R53" i="1"/>
  <c r="K54" i="1"/>
  <c r="L54" i="1"/>
  <c r="M54" i="1"/>
  <c r="N54" i="1"/>
  <c r="O54" i="1"/>
  <c r="P54" i="1"/>
  <c r="Q54" i="1"/>
  <c r="R54" i="1"/>
  <c r="K55" i="1"/>
  <c r="L55" i="1"/>
  <c r="M55" i="1"/>
  <c r="N55" i="1"/>
  <c r="O55" i="1"/>
  <c r="P55" i="1"/>
  <c r="Q55" i="1"/>
  <c r="R55" i="1"/>
  <c r="L6" i="1"/>
  <c r="M6" i="1"/>
  <c r="N6" i="1"/>
  <c r="O6" i="1"/>
  <c r="P6" i="1"/>
  <c r="Q6" i="1"/>
  <c r="R6" i="1"/>
  <c r="K6" i="1"/>
  <c r="C2" i="1" l="1"/>
  <c r="C3" i="1"/>
  <c r="C4" i="1"/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J1" i="1" s="1"/>
  <c r="C1" i="1" l="1"/>
  <c r="G1" i="1"/>
  <c r="I1" i="1"/>
  <c r="H1" i="1"/>
  <c r="F1" i="1"/>
  <c r="E1" i="1"/>
  <c r="D1" i="1"/>
</calcChain>
</file>

<file path=xl/sharedStrings.xml><?xml version="1.0" encoding="utf-8"?>
<sst xmlns="http://schemas.openxmlformats.org/spreadsheetml/2006/main" count="148" uniqueCount="58">
  <si>
    <t>박기호</t>
    <phoneticPr fontId="2" type="noConversion"/>
  </si>
  <si>
    <t>김세훈</t>
    <phoneticPr fontId="2" type="noConversion"/>
  </si>
  <si>
    <t>김준형</t>
    <phoneticPr fontId="2" type="noConversion"/>
  </si>
  <si>
    <t>서현규</t>
    <phoneticPr fontId="2" type="noConversion"/>
  </si>
  <si>
    <t>송정열</t>
    <phoneticPr fontId="2" type="noConversion"/>
  </si>
  <si>
    <t>이우진</t>
    <phoneticPr fontId="2" type="noConversion"/>
  </si>
  <si>
    <t>이준우</t>
    <phoneticPr fontId="2" type="noConversion"/>
  </si>
  <si>
    <t>차동균</t>
    <phoneticPr fontId="2" type="noConversion"/>
  </si>
  <si>
    <t>최다연</t>
    <phoneticPr fontId="2" type="noConversion"/>
  </si>
  <si>
    <t>홍지윤</t>
    <phoneticPr fontId="2" type="noConversion"/>
  </si>
  <si>
    <t>도우미</t>
    <phoneticPr fontId="2" type="noConversion"/>
  </si>
  <si>
    <t>ㅇ</t>
    <phoneticPr fontId="2" type="noConversion"/>
  </si>
  <si>
    <t>ㅡ</t>
    <phoneticPr fontId="2" type="noConversion"/>
  </si>
  <si>
    <t>강민서</t>
    <phoneticPr fontId="2" type="noConversion"/>
  </si>
  <si>
    <t>구연수</t>
    <phoneticPr fontId="2" type="noConversion"/>
  </si>
  <si>
    <t>김태현</t>
    <phoneticPr fontId="2" type="noConversion"/>
  </si>
  <si>
    <t>박하빈</t>
    <phoneticPr fontId="2" type="noConversion"/>
  </si>
  <si>
    <t>방성원</t>
    <phoneticPr fontId="2" type="noConversion"/>
  </si>
  <si>
    <t>성윤혁</t>
    <phoneticPr fontId="2" type="noConversion"/>
  </si>
  <si>
    <t>오정현</t>
    <phoneticPr fontId="2" type="noConversion"/>
  </si>
  <si>
    <t>유가은</t>
    <phoneticPr fontId="2" type="noConversion"/>
  </si>
  <si>
    <t>전준혁</t>
    <phoneticPr fontId="2" type="noConversion"/>
  </si>
  <si>
    <t>정윤석</t>
    <phoneticPr fontId="2" type="noConversion"/>
  </si>
  <si>
    <t>조민지</t>
    <phoneticPr fontId="2" type="noConversion"/>
  </si>
  <si>
    <t>홍서연</t>
    <phoneticPr fontId="2" type="noConversion"/>
  </si>
  <si>
    <t>강준서</t>
    <phoneticPr fontId="2" type="noConversion"/>
  </si>
  <si>
    <t>권재</t>
    <phoneticPr fontId="2" type="noConversion"/>
  </si>
  <si>
    <t>김경환</t>
    <phoneticPr fontId="2" type="noConversion"/>
  </si>
  <si>
    <t>김민규</t>
    <phoneticPr fontId="2" type="noConversion"/>
  </si>
  <si>
    <t>김성민</t>
    <phoneticPr fontId="2" type="noConversion"/>
  </si>
  <si>
    <t>김재은</t>
    <phoneticPr fontId="2" type="noConversion"/>
  </si>
  <si>
    <t>김환희</t>
    <phoneticPr fontId="2" type="noConversion"/>
  </si>
  <si>
    <t>남경</t>
    <phoneticPr fontId="2" type="noConversion"/>
  </si>
  <si>
    <t>동건</t>
    <phoneticPr fontId="2" type="noConversion"/>
  </si>
  <si>
    <t>박상수</t>
    <phoneticPr fontId="2" type="noConversion"/>
  </si>
  <si>
    <t>박재홍</t>
    <phoneticPr fontId="2" type="noConversion"/>
  </si>
  <si>
    <t>박정두</t>
    <phoneticPr fontId="2" type="noConversion"/>
  </si>
  <si>
    <t>박종은</t>
    <phoneticPr fontId="2" type="noConversion"/>
  </si>
  <si>
    <t>손재원</t>
    <phoneticPr fontId="2" type="noConversion"/>
  </si>
  <si>
    <t>안자영</t>
    <phoneticPr fontId="2" type="noConversion"/>
  </si>
  <si>
    <t>이원진</t>
    <phoneticPr fontId="2" type="noConversion"/>
  </si>
  <si>
    <t>이윤빈</t>
    <phoneticPr fontId="2" type="noConversion"/>
  </si>
  <si>
    <t>이주왕</t>
    <phoneticPr fontId="2" type="noConversion"/>
  </si>
  <si>
    <t>이태연</t>
    <phoneticPr fontId="2" type="noConversion"/>
  </si>
  <si>
    <t>이태훈</t>
    <phoneticPr fontId="2" type="noConversion"/>
  </si>
  <si>
    <t>이현승</t>
    <phoneticPr fontId="2" type="noConversion"/>
  </si>
  <si>
    <t>정선우</t>
    <phoneticPr fontId="2" type="noConversion"/>
  </si>
  <si>
    <t>정지섭</t>
    <phoneticPr fontId="2" type="noConversion"/>
  </si>
  <si>
    <t>주왕성</t>
    <phoneticPr fontId="2" type="noConversion"/>
  </si>
  <si>
    <t>추민근</t>
    <phoneticPr fontId="2" type="noConversion"/>
  </si>
  <si>
    <t>하재현</t>
    <phoneticPr fontId="2" type="noConversion"/>
  </si>
  <si>
    <t>허태훈</t>
    <phoneticPr fontId="2" type="noConversion"/>
  </si>
  <si>
    <t>Pro</t>
    <phoneticPr fontId="2" type="noConversion"/>
  </si>
  <si>
    <t>Classic</t>
    <phoneticPr fontId="2" type="noConversion"/>
  </si>
  <si>
    <t>합</t>
    <phoneticPr fontId="2" type="noConversion"/>
  </si>
  <si>
    <t>ㅁ</t>
    <phoneticPr fontId="2" type="noConversion"/>
  </si>
  <si>
    <t>박찬휘</t>
    <phoneticPr fontId="2" type="noConversion"/>
  </si>
  <si>
    <t>우태경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</si>
</sst>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m&quot;월&quot;\ dd&quot;일&quot;"/>
    <numFmt numFmtId="177" formatCode="mm/dd/ddd"/>
  </numFmts>
  <fonts count="7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A9B07-359A-4211-8484-BE31CEEC6486}">
  <dimension ref="A1:R56"/>
  <sheetViews>
    <sheetView tabSelected="1" topLeftCell="A10" workbookViewId="0">
      <selection activeCell="I24" sqref="I24"/>
    </sheetView>
  </sheetViews>
  <sheetFormatPr defaultRowHeight="16.5"/>
  <cols>
    <col min="1" max="2" width="9" customWidth="1"/>
    <col min="3" max="3" width="11.125" customWidth="1"/>
    <col min="4" max="4" width="11" customWidth="1"/>
    <col min="5" max="5" width="10.25" customWidth="1"/>
    <col min="6" max="6" width="11.125" customWidth="1"/>
    <col min="7" max="7" width="10.125" customWidth="1"/>
    <col min="8" max="8" width="11" customWidth="1"/>
    <col min="9" max="9" width="10.25" customWidth="1"/>
    <col min="10" max="10" width="9.125" customWidth="1"/>
    <col min="11" max="12" width="9" customWidth="1"/>
  </cols>
  <sheetData>
    <row r="1" spans="1:18">
      <c r="B1" t="s">
        <v>54</v>
      </c>
      <c r="C1">
        <f>SUM(C2:C4)</f>
        <v>8</v>
      </c>
      <c r="D1">
        <f t="shared" ref="D1:J1" si="0">SUM(D2:D4)</f>
        <v>17</v>
      </c>
      <c r="E1">
        <f t="shared" si="0"/>
        <v>13</v>
      </c>
      <c r="F1">
        <f t="shared" si="0"/>
        <v>5</v>
      </c>
      <c r="G1">
        <f t="shared" si="0"/>
        <v>19</v>
      </c>
      <c r="H1">
        <f t="shared" si="0"/>
        <v>16</v>
      </c>
      <c r="I1">
        <f t="shared" si="0"/>
        <v>9</v>
      </c>
      <c r="J1">
        <f t="shared" si="0"/>
        <v>2</v>
      </c>
    </row>
    <row r="2" spans="1:18">
      <c r="B2" t="s">
        <v>10</v>
      </c>
      <c r="C2">
        <f>COUNTA(C6:C15)</f>
        <v>7</v>
      </c>
      <c r="D2">
        <f t="shared" ref="D2:J2" si="1">COUNTA(D6:D15)</f>
        <v>9</v>
      </c>
      <c r="E2">
        <f t="shared" si="1"/>
        <v>6</v>
      </c>
      <c r="F2">
        <f t="shared" si="1"/>
        <v>3</v>
      </c>
      <c r="G2">
        <f t="shared" si="1"/>
        <v>7</v>
      </c>
      <c r="H2">
        <f t="shared" si="1"/>
        <v>8</v>
      </c>
      <c r="I2">
        <f t="shared" si="1"/>
        <v>5</v>
      </c>
      <c r="J2">
        <f t="shared" si="1"/>
        <v>2</v>
      </c>
    </row>
    <row r="3" spans="1:18">
      <c r="B3" t="s">
        <v>52</v>
      </c>
      <c r="C3">
        <f>COUNTA(C16:C26)</f>
        <v>0</v>
      </c>
      <c r="D3">
        <f t="shared" ref="D3:J3" si="2">COUNTA(D16:D26)</f>
        <v>4</v>
      </c>
      <c r="E3">
        <f t="shared" si="2"/>
        <v>1</v>
      </c>
      <c r="F3">
        <f t="shared" si="2"/>
        <v>1</v>
      </c>
      <c r="G3">
        <f t="shared" si="2"/>
        <v>2</v>
      </c>
      <c r="H3">
        <f t="shared" si="2"/>
        <v>4</v>
      </c>
      <c r="I3">
        <f t="shared" si="2"/>
        <v>3</v>
      </c>
      <c r="J3">
        <f t="shared" si="2"/>
        <v>0</v>
      </c>
    </row>
    <row r="4" spans="1:18">
      <c r="B4" t="s">
        <v>53</v>
      </c>
      <c r="C4">
        <f>COUNTA(C27:C55)</f>
        <v>1</v>
      </c>
      <c r="D4">
        <f t="shared" ref="D4:J4" si="3">COUNTA(D27:D55)</f>
        <v>4</v>
      </c>
      <c r="E4">
        <f t="shared" si="3"/>
        <v>6</v>
      </c>
      <c r="F4">
        <f t="shared" si="3"/>
        <v>1</v>
      </c>
      <c r="G4">
        <f t="shared" si="3"/>
        <v>10</v>
      </c>
      <c r="H4">
        <f t="shared" si="3"/>
        <v>4</v>
      </c>
      <c r="I4">
        <f t="shared" si="3"/>
        <v>1</v>
      </c>
      <c r="J4">
        <f t="shared" si="3"/>
        <v>0</v>
      </c>
    </row>
    <row r="5" spans="1:18" ht="17.25" thickBot="1">
      <c r="C5" s="1">
        <v>46146</v>
      </c>
      <c r="D5" s="1">
        <v>46148</v>
      </c>
      <c r="E5" s="1">
        <v>46149</v>
      </c>
      <c r="F5" s="1">
        <v>46153</v>
      </c>
      <c r="G5" s="1">
        <v>46154</v>
      </c>
      <c r="H5" s="1">
        <v>46155</v>
      </c>
      <c r="I5" s="1">
        <v>46156</v>
      </c>
      <c r="J5" s="1">
        <v>46157</v>
      </c>
    </row>
    <row r="6" spans="1:18" ht="12" customHeight="1">
      <c r="A6" s="31" t="s">
        <v>10</v>
      </c>
      <c r="B6" s="18" t="s">
        <v>0</v>
      </c>
      <c r="C6" s="8" t="s">
        <v>55</v>
      </c>
      <c r="D6" s="15" t="s">
        <v>55</v>
      </c>
      <c r="E6" s="2"/>
      <c r="F6" s="15"/>
      <c r="G6" s="15" t="s">
        <v>55</v>
      </c>
      <c r="H6" s="15" t="s">
        <v>55</v>
      </c>
      <c r="I6" s="2" t="s">
        <v>12</v>
      </c>
      <c r="J6" s="17" t="s">
        <v>11</v>
      </c>
      <c r="K6" t="str">
        <f>IF(C6="ㅁ",$B6,"")</f>
        <v>박기호</v>
      </c>
      <c r="L6" t="str">
        <f t="shared" ref="L6:R6" si="4">IF(D6="ㅁ",$B6,"")</f>
        <v>박기호</v>
      </c>
      <c r="M6" t="str">
        <f t="shared" si="4"/>
        <v/>
      </c>
      <c r="N6" t="str">
        <f t="shared" si="4"/>
        <v/>
      </c>
      <c r="O6" t="str">
        <f t="shared" si="4"/>
        <v>박기호</v>
      </c>
      <c r="P6" t="str">
        <f t="shared" si="4"/>
        <v>박기호</v>
      </c>
      <c r="Q6" t="str">
        <f t="shared" si="4"/>
        <v/>
      </c>
      <c r="R6" t="str">
        <f t="shared" si="4"/>
        <v/>
      </c>
    </row>
    <row r="7" spans="1:18" ht="12" customHeight="1">
      <c r="A7" s="32"/>
      <c r="B7" s="19" t="s">
        <v>1</v>
      </c>
      <c r="C7" s="11" t="s">
        <v>55</v>
      </c>
      <c r="D7" s="4" t="s">
        <v>11</v>
      </c>
      <c r="E7" s="12" t="s">
        <v>55</v>
      </c>
      <c r="F7" s="4"/>
      <c r="G7" s="12" t="s">
        <v>55</v>
      </c>
      <c r="H7" s="12" t="s">
        <v>55</v>
      </c>
      <c r="I7" s="4"/>
      <c r="J7" s="5"/>
      <c r="K7" t="str">
        <f t="shared" ref="K7:K56" si="5">IF(C7="ㅁ",$B7,"")</f>
        <v>김세훈</v>
      </c>
      <c r="L7" t="str">
        <f t="shared" ref="L7:L56" si="6">IF(D7="ㅁ",$B7,"")</f>
        <v/>
      </c>
      <c r="M7" t="str">
        <f t="shared" ref="M7:M56" si="7">IF(E7="ㅁ",$B7,"")</f>
        <v>김세훈</v>
      </c>
      <c r="N7" t="str">
        <f t="shared" ref="N7:N56" si="8">IF(F7="ㅁ",$B7,"")</f>
        <v/>
      </c>
      <c r="O7" t="str">
        <f t="shared" ref="O7:O56" si="9">IF(G7="ㅁ",$B7,"")</f>
        <v>김세훈</v>
      </c>
      <c r="P7" t="str">
        <f t="shared" ref="P7:P56" si="10">IF(H7="ㅁ",$B7,"")</f>
        <v>김세훈</v>
      </c>
      <c r="Q7" t="str">
        <f t="shared" ref="Q7:Q56" si="11">IF(I7="ㅁ",$B7,"")</f>
        <v/>
      </c>
      <c r="R7" t="str">
        <f t="shared" ref="R7:R56" si="12">IF(J7="ㅁ",$B7,"")</f>
        <v/>
      </c>
    </row>
    <row r="8" spans="1:18" ht="12" customHeight="1">
      <c r="A8" s="32"/>
      <c r="B8" s="20" t="s">
        <v>2</v>
      </c>
      <c r="C8" s="4"/>
      <c r="D8" s="12" t="s">
        <v>55</v>
      </c>
      <c r="E8" s="4"/>
      <c r="F8" s="4"/>
      <c r="G8" s="13"/>
      <c r="H8" s="13" t="s">
        <v>55</v>
      </c>
      <c r="I8" s="4"/>
      <c r="J8" s="5"/>
      <c r="K8" t="str">
        <f t="shared" si="5"/>
        <v/>
      </c>
      <c r="L8" t="str">
        <f t="shared" si="6"/>
        <v>김준형</v>
      </c>
      <c r="M8" t="str">
        <f t="shared" si="7"/>
        <v/>
      </c>
      <c r="N8" t="str">
        <f t="shared" si="8"/>
        <v/>
      </c>
      <c r="O8" t="str">
        <f t="shared" si="9"/>
        <v/>
      </c>
      <c r="P8" t="str">
        <f t="shared" si="10"/>
        <v>김준형</v>
      </c>
      <c r="Q8" t="str">
        <f t="shared" si="11"/>
        <v/>
      </c>
      <c r="R8" t="str">
        <f t="shared" si="12"/>
        <v/>
      </c>
    </row>
    <row r="9" spans="1:18" ht="12" customHeight="1">
      <c r="A9" s="32"/>
      <c r="B9" s="20" t="s">
        <v>3</v>
      </c>
      <c r="C9" s="4"/>
      <c r="D9" s="13" t="s">
        <v>55</v>
      </c>
      <c r="E9" s="13" t="s">
        <v>55</v>
      </c>
      <c r="F9" s="12" t="s">
        <v>55</v>
      </c>
      <c r="G9" s="13" t="s">
        <v>55</v>
      </c>
      <c r="H9" s="13" t="s">
        <v>55</v>
      </c>
      <c r="I9" s="4" t="s">
        <v>11</v>
      </c>
      <c r="J9" s="5"/>
      <c r="K9" t="str">
        <f t="shared" si="5"/>
        <v/>
      </c>
      <c r="L9" t="str">
        <f t="shared" si="6"/>
        <v>서현규</v>
      </c>
      <c r="M9" t="str">
        <f t="shared" si="7"/>
        <v>서현규</v>
      </c>
      <c r="N9" t="str">
        <f t="shared" si="8"/>
        <v>서현규</v>
      </c>
      <c r="O9" t="str">
        <f t="shared" si="9"/>
        <v>서현규</v>
      </c>
      <c r="P9" t="str">
        <f t="shared" si="10"/>
        <v>서현규</v>
      </c>
      <c r="Q9" t="str">
        <f t="shared" si="11"/>
        <v/>
      </c>
      <c r="R9" t="str">
        <f t="shared" si="12"/>
        <v/>
      </c>
    </row>
    <row r="10" spans="1:18" ht="12" customHeight="1">
      <c r="A10" s="32"/>
      <c r="B10" s="20" t="s">
        <v>4</v>
      </c>
      <c r="C10" s="9" t="s">
        <v>55</v>
      </c>
      <c r="D10" s="4" t="s">
        <v>11</v>
      </c>
      <c r="E10" s="13" t="s">
        <v>55</v>
      </c>
      <c r="F10" s="30"/>
      <c r="G10" s="13" t="s">
        <v>55</v>
      </c>
      <c r="H10" s="13" t="s">
        <v>55</v>
      </c>
      <c r="I10" s="4"/>
      <c r="J10" s="5"/>
      <c r="K10" t="str">
        <f t="shared" si="5"/>
        <v>송정열</v>
      </c>
      <c r="L10" t="str">
        <f t="shared" si="6"/>
        <v/>
      </c>
      <c r="M10" t="str">
        <f t="shared" si="7"/>
        <v>송정열</v>
      </c>
      <c r="N10" t="str">
        <f t="shared" si="8"/>
        <v/>
      </c>
      <c r="O10" t="str">
        <f t="shared" si="9"/>
        <v>송정열</v>
      </c>
      <c r="P10" t="str">
        <f t="shared" si="10"/>
        <v>송정열</v>
      </c>
      <c r="Q10" t="str">
        <f t="shared" si="11"/>
        <v/>
      </c>
      <c r="R10" t="str">
        <f t="shared" si="12"/>
        <v/>
      </c>
    </row>
    <row r="11" spans="1:18" ht="12" customHeight="1">
      <c r="A11" s="32"/>
      <c r="B11" s="20" t="s">
        <v>5</v>
      </c>
      <c r="C11" s="9" t="s">
        <v>55</v>
      </c>
      <c r="D11" s="4"/>
      <c r="E11" s="13" t="s">
        <v>55</v>
      </c>
      <c r="F11" s="4"/>
      <c r="G11" s="13"/>
      <c r="H11" s="4"/>
      <c r="I11" s="4" t="s">
        <v>11</v>
      </c>
      <c r="J11" s="5"/>
      <c r="K11" t="str">
        <f t="shared" si="5"/>
        <v>이우진</v>
      </c>
      <c r="L11" t="str">
        <f t="shared" si="6"/>
        <v/>
      </c>
      <c r="M11" t="str">
        <f t="shared" si="7"/>
        <v>이우진</v>
      </c>
      <c r="N11" t="str">
        <f t="shared" si="8"/>
        <v/>
      </c>
      <c r="O11" t="str">
        <f t="shared" si="9"/>
        <v/>
      </c>
      <c r="P11" t="str">
        <f t="shared" si="10"/>
        <v/>
      </c>
      <c r="Q11" t="str">
        <f t="shared" si="11"/>
        <v/>
      </c>
      <c r="R11" t="str">
        <f t="shared" si="12"/>
        <v/>
      </c>
    </row>
    <row r="12" spans="1:18" ht="12" customHeight="1">
      <c r="A12" s="32"/>
      <c r="B12" s="19" t="s">
        <v>6</v>
      </c>
      <c r="C12" s="9" t="s">
        <v>55</v>
      </c>
      <c r="D12" s="4" t="s">
        <v>11</v>
      </c>
      <c r="E12" s="13" t="s">
        <v>55</v>
      </c>
      <c r="F12" s="12" t="s">
        <v>55</v>
      </c>
      <c r="G12" s="13" t="s">
        <v>55</v>
      </c>
      <c r="H12" s="4" t="s">
        <v>11</v>
      </c>
      <c r="I12" s="4" t="s">
        <v>11</v>
      </c>
      <c r="J12" s="5"/>
      <c r="K12" t="str">
        <f t="shared" si="5"/>
        <v>이준우</v>
      </c>
      <c r="L12" t="str">
        <f t="shared" si="6"/>
        <v/>
      </c>
      <c r="M12" t="str">
        <f t="shared" si="7"/>
        <v>이준우</v>
      </c>
      <c r="N12" t="str">
        <f t="shared" si="8"/>
        <v>이준우</v>
      </c>
      <c r="O12" t="str">
        <f t="shared" si="9"/>
        <v>이준우</v>
      </c>
      <c r="P12" t="str">
        <f t="shared" si="10"/>
        <v/>
      </c>
      <c r="Q12" t="str">
        <f t="shared" si="11"/>
        <v/>
      </c>
      <c r="R12" t="str">
        <f t="shared" si="12"/>
        <v/>
      </c>
    </row>
    <row r="13" spans="1:18" ht="12" customHeight="1">
      <c r="A13" s="32"/>
      <c r="B13" s="20" t="s">
        <v>7</v>
      </c>
      <c r="C13" s="4"/>
      <c r="D13" s="12" t="s">
        <v>55</v>
      </c>
      <c r="E13" s="4"/>
      <c r="F13" s="13"/>
      <c r="G13" s="4"/>
      <c r="H13" s="4"/>
      <c r="I13" s="4"/>
      <c r="J13" s="5"/>
      <c r="K13" t="str">
        <f t="shared" si="5"/>
        <v/>
      </c>
      <c r="L13" t="str">
        <f t="shared" si="6"/>
        <v>차동균</v>
      </c>
      <c r="M13" t="str">
        <f t="shared" si="7"/>
        <v/>
      </c>
      <c r="N13" t="str">
        <f t="shared" si="8"/>
        <v/>
      </c>
      <c r="O13" t="str">
        <f t="shared" si="9"/>
        <v/>
      </c>
      <c r="P13" t="str">
        <f t="shared" si="10"/>
        <v/>
      </c>
      <c r="Q13" t="str">
        <f t="shared" si="11"/>
        <v/>
      </c>
      <c r="R13" t="str">
        <f t="shared" si="12"/>
        <v/>
      </c>
    </row>
    <row r="14" spans="1:18" ht="12" customHeight="1">
      <c r="A14" s="32"/>
      <c r="B14" s="20" t="s">
        <v>8</v>
      </c>
      <c r="C14" s="9" t="s">
        <v>55</v>
      </c>
      <c r="D14" s="12" t="s">
        <v>55</v>
      </c>
      <c r="E14" s="4"/>
      <c r="F14" s="13"/>
      <c r="G14" s="4" t="s">
        <v>11</v>
      </c>
      <c r="H14" s="4" t="s">
        <v>11</v>
      </c>
      <c r="I14" s="4"/>
      <c r="J14" s="5"/>
      <c r="K14" t="str">
        <f t="shared" si="5"/>
        <v>최다연</v>
      </c>
      <c r="L14" t="str">
        <f t="shared" si="6"/>
        <v>최다연</v>
      </c>
      <c r="M14" t="str">
        <f t="shared" si="7"/>
        <v/>
      </c>
      <c r="N14" t="str">
        <f t="shared" si="8"/>
        <v/>
      </c>
      <c r="O14" t="str">
        <f t="shared" si="9"/>
        <v/>
      </c>
      <c r="P14" t="str">
        <f t="shared" si="10"/>
        <v/>
      </c>
      <c r="Q14" t="str">
        <f t="shared" si="11"/>
        <v/>
      </c>
      <c r="R14" t="str">
        <f t="shared" si="12"/>
        <v/>
      </c>
    </row>
    <row r="15" spans="1:18" ht="12" customHeight="1" thickBot="1">
      <c r="A15" s="33"/>
      <c r="B15" s="21" t="s">
        <v>9</v>
      </c>
      <c r="C15" s="10" t="s">
        <v>55</v>
      </c>
      <c r="D15" s="27" t="s">
        <v>55</v>
      </c>
      <c r="E15" s="28" t="s">
        <v>11</v>
      </c>
      <c r="F15" s="27" t="s">
        <v>55</v>
      </c>
      <c r="G15" s="29" t="s">
        <v>11</v>
      </c>
      <c r="H15" s="6" t="s">
        <v>11</v>
      </c>
      <c r="I15" s="6" t="s">
        <v>11</v>
      </c>
      <c r="J15" s="7" t="s">
        <v>11</v>
      </c>
      <c r="K15" t="str">
        <f t="shared" si="5"/>
        <v>홍지윤</v>
      </c>
      <c r="L15" t="str">
        <f t="shared" si="6"/>
        <v>홍지윤</v>
      </c>
      <c r="M15" t="str">
        <f t="shared" si="7"/>
        <v/>
      </c>
      <c r="N15" t="str">
        <f t="shared" si="8"/>
        <v>홍지윤</v>
      </c>
      <c r="O15" t="str">
        <f t="shared" si="9"/>
        <v/>
      </c>
      <c r="P15" t="str">
        <f t="shared" si="10"/>
        <v/>
      </c>
      <c r="Q15" t="str">
        <f t="shared" si="11"/>
        <v/>
      </c>
      <c r="R15" t="str">
        <f t="shared" si="12"/>
        <v/>
      </c>
    </row>
    <row r="16" spans="1:18" ht="12" customHeight="1">
      <c r="A16" s="31" t="s">
        <v>52</v>
      </c>
      <c r="B16" s="22" t="s">
        <v>14</v>
      </c>
      <c r="C16" s="2"/>
      <c r="D16" s="2" t="s">
        <v>11</v>
      </c>
      <c r="E16" s="2"/>
      <c r="F16" s="2"/>
      <c r="G16" s="2"/>
      <c r="H16" s="15" t="s">
        <v>55</v>
      </c>
      <c r="I16" s="2"/>
      <c r="J16" s="3"/>
      <c r="K16" t="str">
        <f t="shared" si="5"/>
        <v/>
      </c>
      <c r="L16" t="str">
        <f t="shared" si="6"/>
        <v/>
      </c>
      <c r="M16" t="str">
        <f t="shared" si="7"/>
        <v/>
      </c>
      <c r="N16" t="str">
        <f t="shared" si="8"/>
        <v/>
      </c>
      <c r="O16" t="str">
        <f t="shared" si="9"/>
        <v/>
      </c>
      <c r="P16" t="str">
        <f t="shared" si="10"/>
        <v>구연수</v>
      </c>
      <c r="Q16" t="str">
        <f t="shared" si="11"/>
        <v/>
      </c>
      <c r="R16" t="str">
        <f t="shared" si="12"/>
        <v/>
      </c>
    </row>
    <row r="17" spans="1:18" ht="12" customHeight="1">
      <c r="A17" s="32"/>
      <c r="B17" s="23" t="s">
        <v>15</v>
      </c>
      <c r="C17" s="4"/>
      <c r="D17" s="4"/>
      <c r="E17" s="4"/>
      <c r="F17" s="4"/>
      <c r="G17" s="4"/>
      <c r="H17" s="13" t="s">
        <v>55</v>
      </c>
      <c r="I17" s="4" t="s">
        <v>11</v>
      </c>
      <c r="J17" s="5"/>
      <c r="K17" t="str">
        <f t="shared" si="5"/>
        <v/>
      </c>
      <c r="L17" t="str">
        <f t="shared" si="6"/>
        <v/>
      </c>
      <c r="M17" t="str">
        <f t="shared" si="7"/>
        <v/>
      </c>
      <c r="N17" t="str">
        <f t="shared" si="8"/>
        <v/>
      </c>
      <c r="O17" t="str">
        <f t="shared" si="9"/>
        <v/>
      </c>
      <c r="P17" t="str">
        <f t="shared" si="10"/>
        <v>김태현</v>
      </c>
      <c r="Q17" t="str">
        <f t="shared" si="11"/>
        <v/>
      </c>
      <c r="R17" t="str">
        <f t="shared" si="12"/>
        <v/>
      </c>
    </row>
    <row r="18" spans="1:18" ht="12" customHeight="1">
      <c r="A18" s="32"/>
      <c r="B18" s="23" t="s">
        <v>16</v>
      </c>
      <c r="C18" s="4"/>
      <c r="D18" s="4"/>
      <c r="E18" s="4"/>
      <c r="F18" s="4"/>
      <c r="G18" s="4"/>
      <c r="H18" s="13" t="s">
        <v>55</v>
      </c>
      <c r="I18" s="4"/>
      <c r="J18" s="5"/>
      <c r="K18" t="str">
        <f t="shared" si="5"/>
        <v/>
      </c>
      <c r="L18" t="str">
        <f t="shared" si="6"/>
        <v/>
      </c>
      <c r="M18" t="str">
        <f t="shared" si="7"/>
        <v/>
      </c>
      <c r="N18" t="str">
        <f t="shared" si="8"/>
        <v/>
      </c>
      <c r="O18" t="str">
        <f t="shared" si="9"/>
        <v/>
      </c>
      <c r="P18" t="str">
        <f t="shared" si="10"/>
        <v>박하빈</v>
      </c>
      <c r="Q18" t="str">
        <f t="shared" si="11"/>
        <v/>
      </c>
      <c r="R18" t="str">
        <f t="shared" si="12"/>
        <v/>
      </c>
    </row>
    <row r="19" spans="1:18" ht="12" customHeight="1">
      <c r="A19" s="32"/>
      <c r="B19" s="23" t="s">
        <v>17</v>
      </c>
      <c r="C19" s="4"/>
      <c r="D19" s="4"/>
      <c r="E19" s="4"/>
      <c r="F19" s="4"/>
      <c r="G19" s="4"/>
      <c r="H19" s="4"/>
      <c r="I19" s="4"/>
      <c r="J19" s="5"/>
      <c r="K19" t="str">
        <f t="shared" si="5"/>
        <v/>
      </c>
      <c r="L19" t="str">
        <f t="shared" si="6"/>
        <v/>
      </c>
      <c r="M19" t="str">
        <f t="shared" si="7"/>
        <v/>
      </c>
      <c r="N19" t="str">
        <f t="shared" si="8"/>
        <v/>
      </c>
      <c r="O19" t="str">
        <f t="shared" si="9"/>
        <v/>
      </c>
      <c r="P19" t="str">
        <f t="shared" si="10"/>
        <v/>
      </c>
      <c r="Q19" t="str">
        <f t="shared" si="11"/>
        <v/>
      </c>
      <c r="R19" t="str">
        <f t="shared" si="12"/>
        <v/>
      </c>
    </row>
    <row r="20" spans="1:18" ht="12" customHeight="1">
      <c r="A20" s="32"/>
      <c r="B20" s="23" t="s">
        <v>18</v>
      </c>
      <c r="C20" s="4"/>
      <c r="D20" s="4" t="s">
        <v>11</v>
      </c>
      <c r="E20" s="4" t="s">
        <v>11</v>
      </c>
      <c r="F20" s="4" t="s">
        <v>11</v>
      </c>
      <c r="G20" s="4"/>
      <c r="H20" s="12" t="s">
        <v>55</v>
      </c>
      <c r="I20" s="4" t="s">
        <v>11</v>
      </c>
      <c r="J20" s="5"/>
      <c r="K20" t="str">
        <f t="shared" si="5"/>
        <v/>
      </c>
      <c r="L20" t="str">
        <f t="shared" si="6"/>
        <v/>
      </c>
      <c r="M20" t="str">
        <f t="shared" si="7"/>
        <v/>
      </c>
      <c r="N20" t="str">
        <f t="shared" si="8"/>
        <v/>
      </c>
      <c r="O20" t="str">
        <f t="shared" si="9"/>
        <v/>
      </c>
      <c r="P20" t="str">
        <f t="shared" si="10"/>
        <v>성윤혁</v>
      </c>
      <c r="Q20" t="str">
        <f t="shared" si="11"/>
        <v/>
      </c>
      <c r="R20" t="str">
        <f t="shared" si="12"/>
        <v/>
      </c>
    </row>
    <row r="21" spans="1:18" ht="12" customHeight="1">
      <c r="A21" s="32"/>
      <c r="B21" s="23" t="s">
        <v>19</v>
      </c>
      <c r="C21" s="4"/>
      <c r="D21" s="4"/>
      <c r="E21" s="4"/>
      <c r="F21" s="4"/>
      <c r="G21" s="4"/>
      <c r="H21" s="4"/>
      <c r="I21" s="4" t="s">
        <v>55</v>
      </c>
      <c r="J21" s="5"/>
      <c r="K21" t="str">
        <f t="shared" si="5"/>
        <v/>
      </c>
      <c r="L21" t="str">
        <f t="shared" si="6"/>
        <v/>
      </c>
      <c r="M21" t="str">
        <f t="shared" si="7"/>
        <v/>
      </c>
      <c r="N21" t="str">
        <f t="shared" si="8"/>
        <v/>
      </c>
      <c r="O21" t="str">
        <f t="shared" si="9"/>
        <v/>
      </c>
      <c r="P21" t="str">
        <f t="shared" si="10"/>
        <v/>
      </c>
      <c r="Q21" t="str">
        <f t="shared" si="11"/>
        <v>오정현</v>
      </c>
      <c r="R21" t="str">
        <f t="shared" si="12"/>
        <v/>
      </c>
    </row>
    <row r="22" spans="1:18" ht="12" customHeight="1">
      <c r="A22" s="32"/>
      <c r="B22" s="23" t="s">
        <v>20</v>
      </c>
      <c r="C22" s="4"/>
      <c r="D22" s="12" t="s">
        <v>55</v>
      </c>
      <c r="E22" s="4"/>
      <c r="F22" s="4"/>
      <c r="G22" s="4"/>
      <c r="H22" s="4"/>
      <c r="I22" s="4"/>
      <c r="J22" s="5"/>
      <c r="K22" t="str">
        <f t="shared" si="5"/>
        <v/>
      </c>
      <c r="L22" t="str">
        <f t="shared" si="6"/>
        <v>유가은</v>
      </c>
      <c r="M22" t="str">
        <f t="shared" si="7"/>
        <v/>
      </c>
      <c r="N22" t="str">
        <f t="shared" si="8"/>
        <v/>
      </c>
      <c r="O22" t="str">
        <f t="shared" si="9"/>
        <v/>
      </c>
      <c r="P22" t="str">
        <f t="shared" si="10"/>
        <v/>
      </c>
      <c r="Q22" t="str">
        <f t="shared" si="11"/>
        <v/>
      </c>
      <c r="R22" t="str">
        <f t="shared" si="12"/>
        <v/>
      </c>
    </row>
    <row r="23" spans="1:18" ht="12" customHeight="1">
      <c r="A23" s="32"/>
      <c r="B23" s="23" t="s">
        <v>21</v>
      </c>
      <c r="C23" s="4"/>
      <c r="D23" s="4"/>
      <c r="E23" s="4"/>
      <c r="F23" s="4"/>
      <c r="G23" s="12" t="s">
        <v>55</v>
      </c>
      <c r="H23" s="4"/>
      <c r="I23" s="4"/>
      <c r="J23" s="5"/>
      <c r="K23" t="str">
        <f t="shared" si="5"/>
        <v/>
      </c>
      <c r="L23" t="str">
        <f t="shared" si="6"/>
        <v/>
      </c>
      <c r="M23" t="str">
        <f t="shared" si="7"/>
        <v/>
      </c>
      <c r="N23" t="str">
        <f t="shared" si="8"/>
        <v/>
      </c>
      <c r="O23" t="str">
        <f t="shared" si="9"/>
        <v>전준혁</v>
      </c>
      <c r="P23" t="str">
        <f t="shared" si="10"/>
        <v/>
      </c>
      <c r="Q23" t="str">
        <f t="shared" si="11"/>
        <v/>
      </c>
      <c r="R23" t="str">
        <f t="shared" si="12"/>
        <v/>
      </c>
    </row>
    <row r="24" spans="1:18" ht="12" customHeight="1">
      <c r="A24" s="32"/>
      <c r="B24" s="23" t="s">
        <v>22</v>
      </c>
      <c r="C24" s="4"/>
      <c r="D24" s="4"/>
      <c r="E24" s="4"/>
      <c r="F24" s="4"/>
      <c r="G24" s="13" t="s">
        <v>55</v>
      </c>
      <c r="H24" s="4"/>
      <c r="I24" s="4"/>
      <c r="J24" s="5"/>
      <c r="K24" t="str">
        <f t="shared" si="5"/>
        <v/>
      </c>
      <c r="L24" t="str">
        <f t="shared" si="6"/>
        <v/>
      </c>
      <c r="M24" t="str">
        <f t="shared" si="7"/>
        <v/>
      </c>
      <c r="N24" t="str">
        <f t="shared" si="8"/>
        <v/>
      </c>
      <c r="O24" t="str">
        <f t="shared" si="9"/>
        <v>정윤석</v>
      </c>
      <c r="P24" t="str">
        <f t="shared" si="10"/>
        <v/>
      </c>
      <c r="Q24" t="str">
        <f t="shared" si="11"/>
        <v/>
      </c>
      <c r="R24" t="str">
        <f t="shared" si="12"/>
        <v/>
      </c>
    </row>
    <row r="25" spans="1:18" ht="12" customHeight="1">
      <c r="A25" s="32"/>
      <c r="B25" s="23" t="s">
        <v>23</v>
      </c>
      <c r="C25" s="4"/>
      <c r="D25" s="4"/>
      <c r="E25" s="4"/>
      <c r="F25" s="4"/>
      <c r="G25" s="4"/>
      <c r="H25" s="4"/>
      <c r="I25" s="4"/>
      <c r="J25" s="5"/>
      <c r="K25" t="str">
        <f t="shared" si="5"/>
        <v/>
      </c>
      <c r="L25" t="str">
        <f t="shared" si="6"/>
        <v/>
      </c>
      <c r="M25" t="str">
        <f t="shared" si="7"/>
        <v/>
      </c>
      <c r="N25" t="str">
        <f t="shared" si="8"/>
        <v/>
      </c>
      <c r="O25" t="str">
        <f t="shared" si="9"/>
        <v/>
      </c>
      <c r="P25" t="str">
        <f t="shared" si="10"/>
        <v/>
      </c>
      <c r="Q25" t="str">
        <f t="shared" si="11"/>
        <v/>
      </c>
      <c r="R25" t="str">
        <f t="shared" si="12"/>
        <v/>
      </c>
    </row>
    <row r="26" spans="1:18" ht="12" customHeight="1" thickBot="1">
      <c r="A26" s="33"/>
      <c r="B26" s="24" t="s">
        <v>24</v>
      </c>
      <c r="C26" s="6"/>
      <c r="D26" s="14" t="s">
        <v>55</v>
      </c>
      <c r="E26" s="6"/>
      <c r="F26" s="6"/>
      <c r="G26" s="6"/>
      <c r="H26" s="6"/>
      <c r="I26" s="6"/>
      <c r="J26" s="7"/>
      <c r="K26" t="str">
        <f t="shared" si="5"/>
        <v/>
      </c>
      <c r="L26" t="str">
        <f t="shared" si="6"/>
        <v>홍서연</v>
      </c>
      <c r="M26" t="str">
        <f t="shared" si="7"/>
        <v/>
      </c>
      <c r="N26" t="str">
        <f t="shared" si="8"/>
        <v/>
      </c>
      <c r="O26" t="str">
        <f t="shared" si="9"/>
        <v/>
      </c>
      <c r="P26" t="str">
        <f t="shared" si="10"/>
        <v/>
      </c>
      <c r="Q26" t="str">
        <f t="shared" si="11"/>
        <v/>
      </c>
      <c r="R26" t="str">
        <f t="shared" si="12"/>
        <v/>
      </c>
    </row>
    <row r="27" spans="1:18" ht="12" customHeight="1">
      <c r="A27" s="34" t="s">
        <v>53</v>
      </c>
      <c r="B27" s="25" t="s">
        <v>13</v>
      </c>
      <c r="C27" s="2"/>
      <c r="D27" s="2"/>
      <c r="E27" s="2"/>
      <c r="F27" s="2"/>
      <c r="G27" s="2" t="s">
        <v>55</v>
      </c>
      <c r="H27" s="2"/>
      <c r="I27" s="2"/>
      <c r="J27" s="3"/>
      <c r="K27" t="str">
        <f t="shared" si="5"/>
        <v/>
      </c>
      <c r="L27" t="str">
        <f t="shared" si="6"/>
        <v/>
      </c>
      <c r="M27" t="str">
        <f t="shared" si="7"/>
        <v/>
      </c>
      <c r="N27" t="str">
        <f t="shared" si="8"/>
        <v/>
      </c>
      <c r="O27" t="str">
        <f t="shared" si="9"/>
        <v>강민서</v>
      </c>
      <c r="P27" t="str">
        <f t="shared" si="10"/>
        <v/>
      </c>
      <c r="Q27" t="str">
        <f t="shared" si="11"/>
        <v/>
      </c>
      <c r="R27" t="str">
        <f t="shared" si="12"/>
        <v/>
      </c>
    </row>
    <row r="28" spans="1:18" ht="12" customHeight="1">
      <c r="A28" s="35"/>
      <c r="B28" s="19" t="s">
        <v>25</v>
      </c>
      <c r="C28" s="4"/>
      <c r="D28" s="16" t="s">
        <v>11</v>
      </c>
      <c r="E28" s="4"/>
      <c r="F28" s="4"/>
      <c r="G28" s="4"/>
      <c r="H28" s="12" t="s">
        <v>55</v>
      </c>
      <c r="I28" s="4"/>
      <c r="J28" s="5"/>
      <c r="K28" t="str">
        <f t="shared" si="5"/>
        <v/>
      </c>
      <c r="L28" t="str">
        <f t="shared" si="6"/>
        <v/>
      </c>
      <c r="M28" t="str">
        <f t="shared" si="7"/>
        <v/>
      </c>
      <c r="N28" t="str">
        <f t="shared" si="8"/>
        <v/>
      </c>
      <c r="O28" t="str">
        <f t="shared" si="9"/>
        <v/>
      </c>
      <c r="P28" t="str">
        <f t="shared" si="10"/>
        <v>강준서</v>
      </c>
      <c r="Q28" t="str">
        <f t="shared" si="11"/>
        <v/>
      </c>
      <c r="R28" t="str">
        <f t="shared" si="12"/>
        <v/>
      </c>
    </row>
    <row r="29" spans="1:18" ht="12" customHeight="1">
      <c r="A29" s="35"/>
      <c r="B29" s="19" t="s">
        <v>26</v>
      </c>
      <c r="C29" s="4"/>
      <c r="D29" s="4"/>
      <c r="E29" s="4"/>
      <c r="F29" s="4"/>
      <c r="G29" s="4"/>
      <c r="H29" s="4"/>
      <c r="I29" s="4"/>
      <c r="J29" s="5"/>
      <c r="K29" t="str">
        <f t="shared" si="5"/>
        <v/>
      </c>
      <c r="L29" t="str">
        <f t="shared" si="6"/>
        <v/>
      </c>
      <c r="M29" t="str">
        <f t="shared" si="7"/>
        <v/>
      </c>
      <c r="N29" t="str">
        <f t="shared" si="8"/>
        <v/>
      </c>
      <c r="O29" t="str">
        <f t="shared" si="9"/>
        <v/>
      </c>
      <c r="P29" t="str">
        <f t="shared" si="10"/>
        <v/>
      </c>
      <c r="Q29" t="str">
        <f t="shared" si="11"/>
        <v/>
      </c>
      <c r="R29" t="str">
        <f t="shared" si="12"/>
        <v/>
      </c>
    </row>
    <row r="30" spans="1:18" ht="12" customHeight="1">
      <c r="A30" s="35"/>
      <c r="B30" s="19" t="s">
        <v>27</v>
      </c>
      <c r="C30" s="4"/>
      <c r="D30" s="4"/>
      <c r="E30" s="4"/>
      <c r="F30" s="4"/>
      <c r="G30" s="12" t="s">
        <v>55</v>
      </c>
      <c r="H30" s="4"/>
      <c r="I30" s="4"/>
      <c r="J30" s="5"/>
      <c r="K30" t="str">
        <f t="shared" si="5"/>
        <v/>
      </c>
      <c r="L30" t="str">
        <f t="shared" si="6"/>
        <v/>
      </c>
      <c r="M30" t="str">
        <f t="shared" si="7"/>
        <v/>
      </c>
      <c r="N30" t="str">
        <f t="shared" si="8"/>
        <v/>
      </c>
      <c r="O30" t="str">
        <f t="shared" si="9"/>
        <v>김경환</v>
      </c>
      <c r="P30" t="str">
        <f t="shared" si="10"/>
        <v/>
      </c>
      <c r="Q30" t="str">
        <f t="shared" si="11"/>
        <v/>
      </c>
      <c r="R30" t="str">
        <f t="shared" si="12"/>
        <v/>
      </c>
    </row>
    <row r="31" spans="1:18" ht="12" customHeight="1">
      <c r="A31" s="35"/>
      <c r="B31" s="19" t="s">
        <v>28</v>
      </c>
      <c r="C31" s="4"/>
      <c r="D31" s="4"/>
      <c r="E31" s="4"/>
      <c r="F31" s="4"/>
      <c r="G31" s="4"/>
      <c r="H31" s="4"/>
      <c r="I31" s="4"/>
      <c r="J31" s="5"/>
      <c r="K31" t="str">
        <f t="shared" si="5"/>
        <v/>
      </c>
      <c r="L31" t="str">
        <f t="shared" si="6"/>
        <v/>
      </c>
      <c r="M31" t="str">
        <f t="shared" si="7"/>
        <v/>
      </c>
      <c r="N31" t="str">
        <f t="shared" si="8"/>
        <v/>
      </c>
      <c r="O31" t="str">
        <f t="shared" si="9"/>
        <v/>
      </c>
      <c r="P31" t="str">
        <f t="shared" si="10"/>
        <v/>
      </c>
      <c r="Q31" t="str">
        <f t="shared" si="11"/>
        <v/>
      </c>
      <c r="R31" t="str">
        <f t="shared" si="12"/>
        <v/>
      </c>
    </row>
    <row r="32" spans="1:18" ht="12" customHeight="1">
      <c r="A32" s="35"/>
      <c r="B32" s="19" t="s">
        <v>29</v>
      </c>
      <c r="C32" s="4"/>
      <c r="D32" s="4"/>
      <c r="E32" s="4"/>
      <c r="F32" s="12"/>
      <c r="G32" s="12" t="s">
        <v>55</v>
      </c>
      <c r="H32" s="12"/>
      <c r="I32" s="4"/>
      <c r="J32" s="5"/>
      <c r="K32" t="str">
        <f t="shared" si="5"/>
        <v/>
      </c>
      <c r="L32" t="str">
        <f t="shared" si="6"/>
        <v/>
      </c>
      <c r="M32" t="str">
        <f t="shared" si="7"/>
        <v/>
      </c>
      <c r="N32" t="str">
        <f t="shared" si="8"/>
        <v/>
      </c>
      <c r="O32" t="str">
        <f t="shared" si="9"/>
        <v>김성민</v>
      </c>
      <c r="P32" t="str">
        <f t="shared" si="10"/>
        <v/>
      </c>
      <c r="Q32" t="str">
        <f t="shared" si="11"/>
        <v/>
      </c>
      <c r="R32" t="str">
        <f t="shared" si="12"/>
        <v/>
      </c>
    </row>
    <row r="33" spans="1:18" ht="12" customHeight="1">
      <c r="A33" s="35"/>
      <c r="B33" s="19" t="s">
        <v>30</v>
      </c>
      <c r="C33" s="4"/>
      <c r="D33" s="4"/>
      <c r="E33" s="12" t="s">
        <v>55</v>
      </c>
      <c r="F33" s="4"/>
      <c r="G33" s="4"/>
      <c r="H33" s="4"/>
      <c r="I33" s="4"/>
      <c r="J33" s="5"/>
      <c r="K33" t="str">
        <f t="shared" si="5"/>
        <v/>
      </c>
      <c r="L33" t="str">
        <f t="shared" si="6"/>
        <v/>
      </c>
      <c r="M33" t="str">
        <f t="shared" si="7"/>
        <v>김재은</v>
      </c>
      <c r="N33" t="str">
        <f t="shared" si="8"/>
        <v/>
      </c>
      <c r="O33" t="str">
        <f t="shared" si="9"/>
        <v/>
      </c>
      <c r="P33" t="str">
        <f t="shared" si="10"/>
        <v/>
      </c>
      <c r="Q33" t="str">
        <f t="shared" si="11"/>
        <v/>
      </c>
      <c r="R33" t="str">
        <f t="shared" si="12"/>
        <v/>
      </c>
    </row>
    <row r="34" spans="1:18" ht="12" customHeight="1">
      <c r="A34" s="35"/>
      <c r="B34" s="19" t="s">
        <v>31</v>
      </c>
      <c r="C34" s="4"/>
      <c r="D34" s="4"/>
      <c r="E34" s="4"/>
      <c r="F34" s="4"/>
      <c r="G34" s="12"/>
      <c r="H34" s="4"/>
      <c r="I34" s="4"/>
      <c r="J34" s="5"/>
      <c r="K34" t="str">
        <f t="shared" si="5"/>
        <v/>
      </c>
      <c r="L34" t="str">
        <f t="shared" si="6"/>
        <v/>
      </c>
      <c r="M34" t="str">
        <f t="shared" si="7"/>
        <v/>
      </c>
      <c r="N34" t="str">
        <f t="shared" si="8"/>
        <v/>
      </c>
      <c r="O34" t="str">
        <f t="shared" si="9"/>
        <v/>
      </c>
      <c r="P34" t="str">
        <f t="shared" si="10"/>
        <v/>
      </c>
      <c r="Q34" t="str">
        <f t="shared" si="11"/>
        <v/>
      </c>
      <c r="R34" t="str">
        <f t="shared" si="12"/>
        <v/>
      </c>
    </row>
    <row r="35" spans="1:18" ht="12" customHeight="1">
      <c r="A35" s="35"/>
      <c r="B35" s="19" t="s">
        <v>32</v>
      </c>
      <c r="C35" s="4"/>
      <c r="D35" s="4"/>
      <c r="E35" s="4"/>
      <c r="F35" s="4" t="s">
        <v>11</v>
      </c>
      <c r="G35" s="12" t="s">
        <v>55</v>
      </c>
      <c r="H35" s="4"/>
      <c r="I35" s="4"/>
      <c r="J35" s="5"/>
      <c r="K35" t="str">
        <f t="shared" si="5"/>
        <v/>
      </c>
      <c r="L35" t="str">
        <f t="shared" si="6"/>
        <v/>
      </c>
      <c r="M35" t="str">
        <f t="shared" si="7"/>
        <v/>
      </c>
      <c r="N35" t="str">
        <f t="shared" si="8"/>
        <v/>
      </c>
      <c r="O35" t="str">
        <f t="shared" si="9"/>
        <v>남경</v>
      </c>
      <c r="P35" t="str">
        <f t="shared" si="10"/>
        <v/>
      </c>
      <c r="Q35" t="str">
        <f t="shared" si="11"/>
        <v/>
      </c>
      <c r="R35" t="str">
        <f t="shared" si="12"/>
        <v/>
      </c>
    </row>
    <row r="36" spans="1:18" ht="12" customHeight="1">
      <c r="A36" s="35"/>
      <c r="B36" s="19" t="s">
        <v>33</v>
      </c>
      <c r="C36" s="4"/>
      <c r="D36" s="4"/>
      <c r="E36" s="4"/>
      <c r="F36" s="4"/>
      <c r="G36" s="12" t="s">
        <v>55</v>
      </c>
      <c r="H36" s="4"/>
      <c r="I36" s="4"/>
      <c r="J36" s="5"/>
      <c r="K36" t="str">
        <f t="shared" si="5"/>
        <v/>
      </c>
      <c r="L36" t="str">
        <f t="shared" si="6"/>
        <v/>
      </c>
      <c r="M36" t="str">
        <f t="shared" si="7"/>
        <v/>
      </c>
      <c r="N36" t="str">
        <f t="shared" si="8"/>
        <v/>
      </c>
      <c r="O36" t="str">
        <f t="shared" si="9"/>
        <v>동건</v>
      </c>
      <c r="P36" t="str">
        <f t="shared" si="10"/>
        <v/>
      </c>
      <c r="Q36" t="str">
        <f t="shared" si="11"/>
        <v/>
      </c>
      <c r="R36" t="str">
        <f t="shared" si="12"/>
        <v/>
      </c>
    </row>
    <row r="37" spans="1:18" ht="12" customHeight="1">
      <c r="A37" s="35"/>
      <c r="B37" s="19" t="s">
        <v>34</v>
      </c>
      <c r="C37" s="4"/>
      <c r="D37" s="4"/>
      <c r="E37" s="4"/>
      <c r="F37" s="4"/>
      <c r="G37" s="4"/>
      <c r="H37" s="4"/>
      <c r="I37" s="4"/>
      <c r="J37" s="5"/>
      <c r="K37" t="str">
        <f t="shared" si="5"/>
        <v/>
      </c>
      <c r="L37" t="str">
        <f t="shared" si="6"/>
        <v/>
      </c>
      <c r="M37" t="str">
        <f t="shared" si="7"/>
        <v/>
      </c>
      <c r="N37" t="str">
        <f t="shared" si="8"/>
        <v/>
      </c>
      <c r="O37" t="str">
        <f t="shared" si="9"/>
        <v/>
      </c>
      <c r="P37" t="str">
        <f t="shared" si="10"/>
        <v/>
      </c>
      <c r="Q37" t="str">
        <f t="shared" si="11"/>
        <v/>
      </c>
      <c r="R37" t="str">
        <f t="shared" si="12"/>
        <v/>
      </c>
    </row>
    <row r="38" spans="1:18" ht="12" customHeight="1">
      <c r="A38" s="35"/>
      <c r="B38" s="19" t="s">
        <v>35</v>
      </c>
      <c r="C38" s="4"/>
      <c r="D38" s="4"/>
      <c r="E38" s="4"/>
      <c r="F38" s="4"/>
      <c r="G38" s="12" t="s">
        <v>55</v>
      </c>
      <c r="H38" s="4"/>
      <c r="I38" s="4"/>
      <c r="J38" s="5"/>
      <c r="K38" t="str">
        <f t="shared" si="5"/>
        <v/>
      </c>
      <c r="L38" t="str">
        <f t="shared" si="6"/>
        <v/>
      </c>
      <c r="M38" t="str">
        <f t="shared" si="7"/>
        <v/>
      </c>
      <c r="N38" t="str">
        <f t="shared" si="8"/>
        <v/>
      </c>
      <c r="O38" t="str">
        <f t="shared" si="9"/>
        <v>박재홍</v>
      </c>
      <c r="P38" t="str">
        <f t="shared" si="10"/>
        <v/>
      </c>
      <c r="Q38" t="str">
        <f t="shared" si="11"/>
        <v/>
      </c>
      <c r="R38" t="str">
        <f t="shared" si="12"/>
        <v/>
      </c>
    </row>
    <row r="39" spans="1:18" ht="12" customHeight="1">
      <c r="A39" s="35"/>
      <c r="B39" s="19" t="s">
        <v>36</v>
      </c>
      <c r="C39" s="4"/>
      <c r="D39" s="4"/>
      <c r="E39" s="4"/>
      <c r="F39" s="4"/>
      <c r="G39" s="13" t="s">
        <v>55</v>
      </c>
      <c r="H39" s="4"/>
      <c r="I39" s="4"/>
      <c r="J39" s="5"/>
      <c r="K39" t="str">
        <f t="shared" si="5"/>
        <v/>
      </c>
      <c r="L39" t="str">
        <f t="shared" si="6"/>
        <v/>
      </c>
      <c r="M39" t="str">
        <f t="shared" si="7"/>
        <v/>
      </c>
      <c r="N39" t="str">
        <f t="shared" si="8"/>
        <v/>
      </c>
      <c r="O39" t="str">
        <f t="shared" si="9"/>
        <v>박정두</v>
      </c>
      <c r="P39" t="str">
        <f t="shared" si="10"/>
        <v/>
      </c>
      <c r="Q39" t="str">
        <f t="shared" si="11"/>
        <v/>
      </c>
      <c r="R39" t="str">
        <f t="shared" si="12"/>
        <v/>
      </c>
    </row>
    <row r="40" spans="1:18" ht="12" customHeight="1">
      <c r="A40" s="35"/>
      <c r="B40" s="19" t="s">
        <v>37</v>
      </c>
      <c r="C40" s="9" t="s">
        <v>55</v>
      </c>
      <c r="D40" s="4"/>
      <c r="E40" s="4"/>
      <c r="F40" s="4"/>
      <c r="G40" s="4"/>
      <c r="H40" s="4"/>
      <c r="I40" s="4"/>
      <c r="J40" s="5"/>
      <c r="K40" t="str">
        <f t="shared" si="5"/>
        <v>박종은</v>
      </c>
      <c r="L40" t="str">
        <f t="shared" si="6"/>
        <v/>
      </c>
      <c r="M40" t="str">
        <f t="shared" si="7"/>
        <v/>
      </c>
      <c r="N40" t="str">
        <f t="shared" si="8"/>
        <v/>
      </c>
      <c r="O40" t="str">
        <f t="shared" si="9"/>
        <v/>
      </c>
      <c r="P40" t="str">
        <f t="shared" si="10"/>
        <v/>
      </c>
      <c r="Q40" t="str">
        <f t="shared" si="11"/>
        <v/>
      </c>
      <c r="R40" t="str">
        <f t="shared" si="12"/>
        <v/>
      </c>
    </row>
    <row r="41" spans="1:18" ht="12" customHeight="1">
      <c r="A41" s="35"/>
      <c r="B41" s="19" t="s">
        <v>38</v>
      </c>
      <c r="C41" s="4"/>
      <c r="D41" s="4"/>
      <c r="E41" s="12" t="s">
        <v>55</v>
      </c>
      <c r="F41" s="4"/>
      <c r="G41" s="4" t="s">
        <v>11</v>
      </c>
      <c r="H41" s="4"/>
      <c r="I41" s="4"/>
      <c r="J41" s="5"/>
      <c r="K41" t="str">
        <f t="shared" si="5"/>
        <v/>
      </c>
      <c r="L41" t="str">
        <f t="shared" si="6"/>
        <v/>
      </c>
      <c r="M41" t="str">
        <f t="shared" si="7"/>
        <v>손재원</v>
      </c>
      <c r="N41" t="str">
        <f t="shared" si="8"/>
        <v/>
      </c>
      <c r="O41" t="str">
        <f t="shared" si="9"/>
        <v/>
      </c>
      <c r="P41" t="str">
        <f t="shared" si="10"/>
        <v/>
      </c>
      <c r="Q41" t="str">
        <f t="shared" si="11"/>
        <v/>
      </c>
      <c r="R41" t="str">
        <f t="shared" si="12"/>
        <v/>
      </c>
    </row>
    <row r="42" spans="1:18" ht="12" customHeight="1">
      <c r="A42" s="35"/>
      <c r="B42" s="19" t="s">
        <v>39</v>
      </c>
      <c r="C42" s="4"/>
      <c r="D42" s="13"/>
      <c r="E42" s="13" t="s">
        <v>55</v>
      </c>
      <c r="F42" s="4"/>
      <c r="G42" s="4" t="s">
        <v>11</v>
      </c>
      <c r="H42" s="4" t="s">
        <v>11</v>
      </c>
      <c r="I42" s="4" t="s">
        <v>11</v>
      </c>
      <c r="J42" s="5"/>
      <c r="K42" t="str">
        <f t="shared" si="5"/>
        <v/>
      </c>
      <c r="L42" t="str">
        <f t="shared" si="6"/>
        <v/>
      </c>
      <c r="M42" t="str">
        <f t="shared" si="7"/>
        <v>안자영</v>
      </c>
      <c r="N42" t="str">
        <f t="shared" si="8"/>
        <v/>
      </c>
      <c r="O42" t="str">
        <f t="shared" si="9"/>
        <v/>
      </c>
      <c r="P42" t="str">
        <f t="shared" si="10"/>
        <v/>
      </c>
      <c r="Q42" t="str">
        <f t="shared" si="11"/>
        <v/>
      </c>
      <c r="R42" t="str">
        <f t="shared" si="12"/>
        <v/>
      </c>
    </row>
    <row r="43" spans="1:18" ht="12" customHeight="1">
      <c r="A43" s="35"/>
      <c r="B43" s="19" t="s">
        <v>40</v>
      </c>
      <c r="C43" s="4"/>
      <c r="D43" s="12" t="s">
        <v>55</v>
      </c>
      <c r="E43" s="4"/>
      <c r="F43" s="4"/>
      <c r="G43" s="4"/>
      <c r="H43" s="4"/>
      <c r="I43" s="4"/>
      <c r="J43" s="5"/>
      <c r="K43" t="str">
        <f t="shared" si="5"/>
        <v/>
      </c>
      <c r="L43" t="str">
        <f t="shared" si="6"/>
        <v>이원진</v>
      </c>
      <c r="M43" t="str">
        <f t="shared" si="7"/>
        <v/>
      </c>
      <c r="N43" t="str">
        <f t="shared" si="8"/>
        <v/>
      </c>
      <c r="O43" t="str">
        <f t="shared" si="9"/>
        <v/>
      </c>
      <c r="P43" t="str">
        <f t="shared" si="10"/>
        <v/>
      </c>
      <c r="Q43" t="str">
        <f t="shared" si="11"/>
        <v/>
      </c>
      <c r="R43" t="str">
        <f t="shared" si="12"/>
        <v/>
      </c>
    </row>
    <row r="44" spans="1:18" ht="12" customHeight="1">
      <c r="A44" s="35"/>
      <c r="B44" s="19" t="s">
        <v>41</v>
      </c>
      <c r="C44" s="4"/>
      <c r="D44" s="13" t="s">
        <v>55</v>
      </c>
      <c r="E44" s="4"/>
      <c r="F44" s="4"/>
      <c r="G44" s="4"/>
      <c r="H44" s="4"/>
      <c r="I44" s="4"/>
      <c r="J44" s="5"/>
      <c r="K44" t="str">
        <f t="shared" si="5"/>
        <v/>
      </c>
      <c r="L44" t="str">
        <f t="shared" si="6"/>
        <v>이윤빈</v>
      </c>
      <c r="M44" t="str">
        <f t="shared" si="7"/>
        <v/>
      </c>
      <c r="N44" t="str">
        <f t="shared" si="8"/>
        <v/>
      </c>
      <c r="O44" t="str">
        <f t="shared" si="9"/>
        <v/>
      </c>
      <c r="P44" t="str">
        <f t="shared" si="10"/>
        <v/>
      </c>
      <c r="Q44" t="str">
        <f t="shared" si="11"/>
        <v/>
      </c>
      <c r="R44" t="str">
        <f t="shared" si="12"/>
        <v/>
      </c>
    </row>
    <row r="45" spans="1:18" ht="12" customHeight="1">
      <c r="A45" s="35"/>
      <c r="B45" s="19" t="s">
        <v>42</v>
      </c>
      <c r="C45" s="4"/>
      <c r="D45" s="4"/>
      <c r="E45" s="4"/>
      <c r="F45" s="4"/>
      <c r="G45" s="4"/>
      <c r="H45" s="4"/>
      <c r="I45" s="4"/>
      <c r="J45" s="5"/>
      <c r="K45" t="str">
        <f t="shared" si="5"/>
        <v/>
      </c>
      <c r="L45" t="str">
        <f t="shared" si="6"/>
        <v/>
      </c>
      <c r="M45" t="str">
        <f t="shared" si="7"/>
        <v/>
      </c>
      <c r="N45" t="str">
        <f t="shared" si="8"/>
        <v/>
      </c>
      <c r="O45" t="str">
        <f t="shared" si="9"/>
        <v/>
      </c>
      <c r="P45" t="str">
        <f t="shared" si="10"/>
        <v/>
      </c>
      <c r="Q45" t="str">
        <f t="shared" si="11"/>
        <v/>
      </c>
      <c r="R45" t="str">
        <f t="shared" si="12"/>
        <v/>
      </c>
    </row>
    <row r="46" spans="1:18" ht="12" customHeight="1">
      <c r="A46" s="35"/>
      <c r="B46" s="19" t="s">
        <v>43</v>
      </c>
      <c r="C46" s="4"/>
      <c r="D46" s="4"/>
      <c r="E46" s="4"/>
      <c r="F46" s="4"/>
      <c r="G46" s="4"/>
      <c r="H46" s="4"/>
      <c r="I46" s="4"/>
      <c r="J46" s="5"/>
      <c r="K46" t="str">
        <f t="shared" si="5"/>
        <v/>
      </c>
      <c r="L46" t="str">
        <f t="shared" si="6"/>
        <v/>
      </c>
      <c r="M46" t="str">
        <f t="shared" si="7"/>
        <v/>
      </c>
      <c r="N46" t="str">
        <f t="shared" si="8"/>
        <v/>
      </c>
      <c r="O46" t="str">
        <f t="shared" si="9"/>
        <v/>
      </c>
      <c r="P46" t="str">
        <f t="shared" si="10"/>
        <v/>
      </c>
      <c r="Q46" t="str">
        <f t="shared" si="11"/>
        <v/>
      </c>
      <c r="R46" t="str">
        <f t="shared" si="12"/>
        <v/>
      </c>
    </row>
    <row r="47" spans="1:18" ht="12" customHeight="1">
      <c r="A47" s="35"/>
      <c r="B47" s="19" t="s">
        <v>44</v>
      </c>
      <c r="C47" s="4"/>
      <c r="D47" s="4" t="s">
        <v>11</v>
      </c>
      <c r="E47" s="12" t="s">
        <v>55</v>
      </c>
      <c r="F47" s="4"/>
      <c r="G47" s="4"/>
      <c r="H47" s="4"/>
      <c r="I47" s="4"/>
      <c r="J47" s="5"/>
      <c r="K47" t="str">
        <f t="shared" si="5"/>
        <v/>
      </c>
      <c r="L47" t="str">
        <f t="shared" si="6"/>
        <v/>
      </c>
      <c r="M47" t="str">
        <f t="shared" si="7"/>
        <v>이태훈</v>
      </c>
      <c r="N47" t="str">
        <f t="shared" si="8"/>
        <v/>
      </c>
      <c r="O47" t="str">
        <f t="shared" si="9"/>
        <v/>
      </c>
      <c r="P47" t="str">
        <f t="shared" si="10"/>
        <v/>
      </c>
      <c r="Q47" t="str">
        <f t="shared" si="11"/>
        <v/>
      </c>
      <c r="R47" t="str">
        <f t="shared" si="12"/>
        <v/>
      </c>
    </row>
    <row r="48" spans="1:18" ht="12" customHeight="1">
      <c r="A48" s="35"/>
      <c r="B48" s="19" t="s">
        <v>45</v>
      </c>
      <c r="C48" s="4"/>
      <c r="D48" s="4"/>
      <c r="E48" s="4"/>
      <c r="F48" s="4"/>
      <c r="G48" s="4"/>
      <c r="H48" s="4"/>
      <c r="I48" s="4"/>
      <c r="J48" s="5"/>
      <c r="K48" t="str">
        <f t="shared" si="5"/>
        <v/>
      </c>
      <c r="L48" t="str">
        <f t="shared" si="6"/>
        <v/>
      </c>
      <c r="M48" t="str">
        <f t="shared" si="7"/>
        <v/>
      </c>
      <c r="N48" t="str">
        <f t="shared" si="8"/>
        <v/>
      </c>
      <c r="O48" t="str">
        <f t="shared" si="9"/>
        <v/>
      </c>
      <c r="P48" t="str">
        <f t="shared" si="10"/>
        <v/>
      </c>
      <c r="Q48" t="str">
        <f t="shared" si="11"/>
        <v/>
      </c>
      <c r="R48" t="str">
        <f t="shared" si="12"/>
        <v/>
      </c>
    </row>
    <row r="49" spans="1:18" ht="12" customHeight="1">
      <c r="A49" s="35"/>
      <c r="B49" s="19" t="s">
        <v>46</v>
      </c>
      <c r="C49" s="4"/>
      <c r="D49" s="4"/>
      <c r="E49" s="13" t="s">
        <v>55</v>
      </c>
      <c r="F49" s="4"/>
      <c r="G49" s="4"/>
      <c r="H49" s="4"/>
      <c r="I49" s="4"/>
      <c r="J49" s="5"/>
      <c r="K49" t="str">
        <f t="shared" si="5"/>
        <v/>
      </c>
      <c r="L49" t="str">
        <f t="shared" si="6"/>
        <v/>
      </c>
      <c r="M49" t="str">
        <f t="shared" si="7"/>
        <v>정선우</v>
      </c>
      <c r="N49" t="str">
        <f t="shared" si="8"/>
        <v/>
      </c>
      <c r="O49" t="str">
        <f t="shared" si="9"/>
        <v/>
      </c>
      <c r="P49" t="str">
        <f t="shared" si="10"/>
        <v/>
      </c>
      <c r="Q49" t="str">
        <f t="shared" si="11"/>
        <v/>
      </c>
      <c r="R49" t="str">
        <f t="shared" si="12"/>
        <v/>
      </c>
    </row>
    <row r="50" spans="1:18" ht="12" customHeight="1">
      <c r="A50" s="35"/>
      <c r="B50" s="19" t="s">
        <v>47</v>
      </c>
      <c r="C50" s="4"/>
      <c r="D50" s="4"/>
      <c r="E50" s="4"/>
      <c r="F50" s="4"/>
      <c r="G50" s="4"/>
      <c r="H50" s="12" t="s">
        <v>55</v>
      </c>
      <c r="I50" s="4"/>
      <c r="J50" s="5"/>
      <c r="K50" t="str">
        <f t="shared" si="5"/>
        <v/>
      </c>
      <c r="L50" t="str">
        <f t="shared" si="6"/>
        <v/>
      </c>
      <c r="M50" t="str">
        <f t="shared" si="7"/>
        <v/>
      </c>
      <c r="N50" t="str">
        <f t="shared" si="8"/>
        <v/>
      </c>
      <c r="O50" t="str">
        <f t="shared" si="9"/>
        <v/>
      </c>
      <c r="P50" t="str">
        <f t="shared" si="10"/>
        <v>정지섭</v>
      </c>
      <c r="Q50" t="str">
        <f t="shared" si="11"/>
        <v/>
      </c>
      <c r="R50" t="str">
        <f t="shared" si="12"/>
        <v/>
      </c>
    </row>
    <row r="51" spans="1:18" ht="12" customHeight="1">
      <c r="A51" s="35"/>
      <c r="B51" s="19" t="s">
        <v>48</v>
      </c>
      <c r="C51" s="4"/>
      <c r="D51" s="4"/>
      <c r="E51" s="4"/>
      <c r="F51" s="4"/>
      <c r="G51" s="13" t="s">
        <v>55</v>
      </c>
      <c r="H51" s="13"/>
      <c r="I51" s="4"/>
      <c r="J51" s="5"/>
      <c r="K51" t="str">
        <f t="shared" si="5"/>
        <v/>
      </c>
      <c r="L51" t="str">
        <f t="shared" si="6"/>
        <v/>
      </c>
      <c r="M51" t="str">
        <f t="shared" si="7"/>
        <v/>
      </c>
      <c r="N51" t="str">
        <f t="shared" si="8"/>
        <v/>
      </c>
      <c r="O51" t="e">
        <f>IF(#REF!="ㅁ",$B51,"")</f>
        <v>#REF!</v>
      </c>
      <c r="P51" t="str">
        <f t="shared" si="10"/>
        <v/>
      </c>
      <c r="Q51" t="str">
        <f t="shared" si="11"/>
        <v/>
      </c>
      <c r="R51" t="str">
        <f t="shared" si="12"/>
        <v/>
      </c>
    </row>
    <row r="52" spans="1:18" ht="12" customHeight="1">
      <c r="A52" s="35"/>
      <c r="B52" s="19" t="s">
        <v>49</v>
      </c>
      <c r="C52" s="4"/>
      <c r="D52" s="4"/>
      <c r="E52" s="4"/>
      <c r="F52" s="4"/>
      <c r="H52" s="13" t="s">
        <v>55</v>
      </c>
      <c r="I52" s="4"/>
      <c r="J52" s="5"/>
      <c r="K52" t="str">
        <f t="shared" si="5"/>
        <v/>
      </c>
      <c r="L52" t="str">
        <f t="shared" si="6"/>
        <v/>
      </c>
      <c r="M52" t="str">
        <f t="shared" si="7"/>
        <v/>
      </c>
      <c r="N52" t="str">
        <f t="shared" si="8"/>
        <v/>
      </c>
      <c r="O52" t="str">
        <f>IF(G51="ㅁ",$B52,"")</f>
        <v>추민근</v>
      </c>
      <c r="P52" t="str">
        <f t="shared" si="10"/>
        <v>추민근</v>
      </c>
      <c r="Q52" t="str">
        <f t="shared" si="11"/>
        <v/>
      </c>
      <c r="R52" t="str">
        <f t="shared" si="12"/>
        <v/>
      </c>
    </row>
    <row r="53" spans="1:18" ht="12" customHeight="1">
      <c r="A53" s="35"/>
      <c r="B53" s="19" t="s">
        <v>57</v>
      </c>
      <c r="C53" s="4"/>
      <c r="D53" s="4"/>
      <c r="E53" s="13" t="s">
        <v>55</v>
      </c>
      <c r="F53" s="4"/>
      <c r="G53" s="4"/>
      <c r="H53" s="13"/>
      <c r="I53" s="4"/>
      <c r="J53" s="5"/>
      <c r="K53" t="str">
        <f t="shared" si="5"/>
        <v/>
      </c>
      <c r="L53" t="str">
        <f t="shared" si="6"/>
        <v/>
      </c>
      <c r="M53" t="str">
        <f t="shared" si="7"/>
        <v>우태경</v>
      </c>
      <c r="N53" t="str">
        <f t="shared" si="8"/>
        <v/>
      </c>
      <c r="O53" t="str">
        <f t="shared" si="9"/>
        <v/>
      </c>
      <c r="P53" t="str">
        <f t="shared" si="10"/>
        <v/>
      </c>
      <c r="Q53" t="str">
        <f t="shared" si="11"/>
        <v/>
      </c>
      <c r="R53" t="str">
        <f t="shared" si="12"/>
        <v/>
      </c>
    </row>
    <row r="54" spans="1:18" ht="12" customHeight="1">
      <c r="A54" s="35"/>
      <c r="B54" s="19" t="s">
        <v>50</v>
      </c>
      <c r="C54" s="4"/>
      <c r="D54" s="4"/>
      <c r="E54" s="4"/>
      <c r="F54" s="4"/>
      <c r="G54" s="4"/>
      <c r="H54" s="4"/>
      <c r="I54" s="4"/>
      <c r="J54" s="5"/>
      <c r="K54" t="str">
        <f t="shared" si="5"/>
        <v/>
      </c>
      <c r="L54" t="str">
        <f t="shared" si="6"/>
        <v/>
      </c>
      <c r="M54" t="str">
        <f t="shared" si="7"/>
        <v/>
      </c>
      <c r="N54" t="str">
        <f t="shared" si="8"/>
        <v/>
      </c>
      <c r="O54" t="str">
        <f t="shared" si="9"/>
        <v/>
      </c>
      <c r="P54" t="str">
        <f t="shared" si="10"/>
        <v/>
      </c>
      <c r="Q54" t="str">
        <f t="shared" si="11"/>
        <v/>
      </c>
      <c r="R54" t="str">
        <f t="shared" si="12"/>
        <v/>
      </c>
    </row>
    <row r="55" spans="1:18" ht="12" customHeight="1" thickBot="1">
      <c r="A55" s="35"/>
      <c r="B55" s="26" t="s">
        <v>51</v>
      </c>
      <c r="C55" s="6"/>
      <c r="D55" s="6"/>
      <c r="E55" s="6"/>
      <c r="F55" s="6"/>
      <c r="G55" s="6"/>
      <c r="H55" s="6"/>
      <c r="I55" s="6"/>
      <c r="J55" s="7"/>
      <c r="K55" t="str">
        <f t="shared" si="5"/>
        <v/>
      </c>
      <c r="L55" t="str">
        <f t="shared" si="6"/>
        <v/>
      </c>
      <c r="M55" t="str">
        <f t="shared" si="7"/>
        <v/>
      </c>
      <c r="N55" t="str">
        <f t="shared" si="8"/>
        <v/>
      </c>
      <c r="O55" t="str">
        <f t="shared" si="9"/>
        <v/>
      </c>
      <c r="P55" t="str">
        <f t="shared" si="10"/>
        <v/>
      </c>
      <c r="Q55" t="str">
        <f t="shared" si="11"/>
        <v/>
      </c>
      <c r="R55" t="str">
        <f t="shared" si="12"/>
        <v/>
      </c>
    </row>
    <row r="56" spans="1:18">
      <c r="B56" s="19" t="s">
        <v>56</v>
      </c>
      <c r="D56" s="13" t="s">
        <v>55</v>
      </c>
      <c r="K56" t="str">
        <f t="shared" si="5"/>
        <v/>
      </c>
      <c r="L56" t="str">
        <f t="shared" si="6"/>
        <v>박찬휘</v>
      </c>
      <c r="M56" t="str">
        <f t="shared" si="7"/>
        <v/>
      </c>
      <c r="N56" t="str">
        <f t="shared" si="8"/>
        <v/>
      </c>
      <c r="O56" t="str">
        <f t="shared" si="9"/>
        <v/>
      </c>
      <c r="P56" t="str">
        <f t="shared" si="10"/>
        <v/>
      </c>
      <c r="Q56" t="str">
        <f t="shared" si="11"/>
        <v/>
      </c>
      <c r="R56" t="str">
        <f t="shared" si="12"/>
        <v/>
      </c>
    </row>
  </sheetData>
  <mergeCells count="3">
    <mergeCell ref="A6:A15"/>
    <mergeCell ref="A27:A55"/>
    <mergeCell ref="A16:A26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119F2-C2C7-4656-B007-9C2DBCCCD180}">
  <dimension ref="A1"/>
  <sheetViews>
    <sheetView workbookViewId="0"/>
  </sheetViews>
  <sheetFormatPr defaultRowHeight="16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PARKGIHO</dc:creator>
  <cp:lastModifiedBy>PARKGIHO</cp:lastModifiedBy>
  <dcterms:created xsi:type="dcterms:W3CDTF">2026-05-05T11:19:03Z</dcterms:created>
  <dcterms:modified xsi:type="dcterms:W3CDTF">2026-05-13T12:02:50Z</dcterms:modified>
</cp:coreProperties>
</file>