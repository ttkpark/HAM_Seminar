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H\Desktop\수업\HAM_Seminar_2026_1\"/>
    </mc:Choice>
  </mc:AlternateContent>
  <xr:revisionPtr revIDLastSave="0" documentId="13_ncr:1_{5EEA5517-49FA-43E1-89FA-57FA58C1B767}" xr6:coauthVersionLast="47" xr6:coauthVersionMax="47" xr10:uidLastSave="{00000000-0000-0000-0000-000000000000}"/>
  <bookViews>
    <workbookView xWindow="5265" yWindow="4380" windowWidth="18000" windowHeight="9270" tabRatio="500" xr2:uid="{00000000-000D-0000-FFFF-FFFF00000000}"/>
  </bookViews>
  <sheets>
    <sheet name="2026-1 04.02 부품주문" sheetId="4" r:id="rId1"/>
    <sheet name="2026-1 회계내역" sheetId="3" r:id="rId2"/>
    <sheet name="저번학기 기반 예상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3" l="1"/>
  <c r="G28" i="3"/>
  <c r="G29" i="3"/>
  <c r="G30" i="3"/>
  <c r="G31" i="3"/>
  <c r="G32" i="3"/>
  <c r="G33" i="3"/>
  <c r="G34" i="3"/>
  <c r="G35" i="3"/>
  <c r="G36" i="3"/>
  <c r="G37" i="3"/>
  <c r="G26" i="3"/>
  <c r="E36" i="3"/>
  <c r="C58" i="3"/>
  <c r="E58" i="3" s="1"/>
  <c r="C37" i="3"/>
  <c r="E37" i="3" s="1"/>
  <c r="C33" i="3"/>
  <c r="E33" i="3" s="1"/>
  <c r="C34" i="3"/>
  <c r="E34" i="3" s="1"/>
  <c r="E27" i="3"/>
  <c r="E28" i="3"/>
  <c r="E29" i="3"/>
  <c r="E30" i="3"/>
  <c r="E31" i="3"/>
  <c r="E32" i="3"/>
  <c r="E35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9" i="3"/>
  <c r="E60" i="3"/>
  <c r="E26" i="3"/>
  <c r="F5" i="2"/>
  <c r="F6" i="2"/>
  <c r="K6" i="2" s="1"/>
  <c r="F7" i="2"/>
  <c r="F10" i="2"/>
  <c r="K10" i="2" s="1"/>
  <c r="F11" i="2"/>
  <c r="K11" i="2" s="1"/>
  <c r="D12" i="2"/>
  <c r="G12" i="2" s="1"/>
  <c r="K7" i="2"/>
  <c r="K5" i="2"/>
  <c r="E4" i="3"/>
  <c r="G4" i="3" s="1"/>
  <c r="G17" i="3"/>
  <c r="G5" i="3"/>
  <c r="G13" i="3"/>
  <c r="G14" i="3"/>
  <c r="G15" i="3"/>
  <c r="G16" i="3"/>
  <c r="E3" i="3"/>
  <c r="G3" i="3" s="1"/>
  <c r="E38" i="3" l="1"/>
  <c r="J62" i="3" s="1"/>
  <c r="K62" i="3" s="1"/>
  <c r="E61" i="3"/>
  <c r="J63" i="3" s="1"/>
  <c r="K63" i="3" s="1"/>
  <c r="K12" i="2"/>
  <c r="L12" i="2" s="1"/>
  <c r="K64" i="3" l="1"/>
</calcChain>
</file>

<file path=xl/sharedStrings.xml><?xml version="1.0" encoding="utf-8"?>
<sst xmlns="http://schemas.openxmlformats.org/spreadsheetml/2006/main" count="257" uniqueCount="170">
  <si>
    <t>주문내역</t>
  </si>
  <si>
    <t>이름</t>
    <phoneticPr fontId="2" type="noConversion"/>
  </si>
  <si>
    <t>날짜</t>
    <phoneticPr fontId="2" type="noConversion"/>
  </si>
  <si>
    <t>금액</t>
    <phoneticPr fontId="2" type="noConversion"/>
  </si>
  <si>
    <t>대상인원수</t>
    <phoneticPr fontId="2" type="noConversion"/>
  </si>
  <si>
    <t>1인당 금액</t>
    <phoneticPr fontId="2" type="noConversion"/>
  </si>
  <si>
    <t>검증용 기판 3종</t>
    <phoneticPr fontId="2" type="noConversion"/>
  </si>
  <si>
    <t>charger 기판 수정본</t>
    <phoneticPr fontId="2" type="noConversion"/>
  </si>
  <si>
    <t>CPLD 기판 1차주문</t>
    <phoneticPr fontId="2" type="noConversion"/>
  </si>
  <si>
    <t>CPLD 기판 2차주문</t>
    <phoneticPr fontId="2" type="noConversion"/>
  </si>
  <si>
    <t>금액(달러)</t>
    <phoneticPr fontId="2" type="noConversion"/>
  </si>
  <si>
    <t>환율</t>
    <phoneticPr fontId="2" type="noConversion"/>
  </si>
  <si>
    <t>브레드보드 주문</t>
    <phoneticPr fontId="2" type="noConversion"/>
  </si>
  <si>
    <t>디바이스마트 CPLD 주문</t>
    <phoneticPr fontId="2" type="noConversion"/>
  </si>
  <si>
    <t>USB 커넥터 주문</t>
    <phoneticPr fontId="2" type="noConversion"/>
  </si>
  <si>
    <t>쿠팡 ATF1502 주문, OLED</t>
    <phoneticPr fontId="2" type="noConversion"/>
  </si>
  <si>
    <t>ATF1502 주문</t>
    <phoneticPr fontId="2" type="noConversion"/>
  </si>
  <si>
    <t>준비 비용</t>
    <phoneticPr fontId="2" type="noConversion"/>
  </si>
  <si>
    <t>검증 비용</t>
    <phoneticPr fontId="2" type="noConversion"/>
  </si>
  <si>
    <t>부품값</t>
    <phoneticPr fontId="2" type="noConversion"/>
  </si>
  <si>
    <t>기판 2종</t>
    <phoneticPr fontId="2" type="noConversion"/>
  </si>
  <si>
    <t>납땜 기구</t>
    <phoneticPr fontId="2" type="noConversion"/>
  </si>
  <si>
    <t>총 인원</t>
    <phoneticPr fontId="2" type="noConversion"/>
  </si>
  <si>
    <t>대상인원수</t>
  </si>
  <si>
    <t>2025-2 학술활동 지출내역</t>
    <phoneticPr fontId="2" type="noConversion"/>
  </si>
  <si>
    <t>2026-1 학술활동 예상 지출내역</t>
    <phoneticPr fontId="2" type="noConversion"/>
  </si>
  <si>
    <t>예상지출</t>
    <phoneticPr fontId="2" type="noConversion"/>
  </si>
  <si>
    <t>총 금액</t>
    <phoneticPr fontId="2" type="noConversion"/>
  </si>
  <si>
    <t>PLCC 납땜용 소켓 주문</t>
    <phoneticPr fontId="2" type="noConversion"/>
  </si>
  <si>
    <t>예상 견적</t>
    <phoneticPr fontId="2" type="noConversion"/>
  </si>
  <si>
    <t>1. breadboard 실습</t>
    <phoneticPr fontId="2" type="noConversion"/>
  </si>
  <si>
    <t>투명 브레드보드</t>
    <phoneticPr fontId="2" type="noConversion"/>
  </si>
  <si>
    <t>2. 7seg</t>
    <phoneticPr fontId="2" type="noConversion"/>
  </si>
  <si>
    <t>YDSR-1056AM</t>
    <phoneticPr fontId="2" type="noConversion"/>
  </si>
  <si>
    <t>7세그먼트</t>
    <phoneticPr fontId="2" type="noConversion"/>
  </si>
  <si>
    <t>74LS90</t>
    <phoneticPr fontId="2" type="noConversion"/>
  </si>
  <si>
    <t>카운터</t>
    <phoneticPr fontId="2" type="noConversion"/>
  </si>
  <si>
    <t>74LS47</t>
    <phoneticPr fontId="2" type="noConversion"/>
  </si>
  <si>
    <t>디코더</t>
    <phoneticPr fontId="2" type="noConversion"/>
  </si>
  <si>
    <t>스위치</t>
    <phoneticPr fontId="2" type="noConversion"/>
  </si>
  <si>
    <t>NE555</t>
    <phoneticPr fontId="2" type="noConversion"/>
  </si>
  <si>
    <t>배터리 소켓</t>
    <phoneticPr fontId="2" type="noConversion"/>
  </si>
  <si>
    <t>AA</t>
    <phoneticPr fontId="2" type="noConversion"/>
  </si>
  <si>
    <t>건전지</t>
    <phoneticPr fontId="2" type="noConversion"/>
  </si>
  <si>
    <t>소켓</t>
    <phoneticPr fontId="2" type="noConversion"/>
  </si>
  <si>
    <t>칩 소켓</t>
    <phoneticPr fontId="2" type="noConversion"/>
  </si>
  <si>
    <t>socket DIP16</t>
    <phoneticPr fontId="2" type="noConversion"/>
  </si>
  <si>
    <t>socket DIP14</t>
    <phoneticPr fontId="2" type="noConversion"/>
  </si>
  <si>
    <t>socket DIP8</t>
    <phoneticPr fontId="2" type="noConversion"/>
  </si>
  <si>
    <t>3. pro</t>
    <phoneticPr fontId="2" type="noConversion"/>
  </si>
  <si>
    <t>OLED</t>
    <phoneticPr fontId="2" type="noConversion"/>
  </si>
  <si>
    <t>CPLD</t>
    <phoneticPr fontId="2" type="noConversion"/>
  </si>
  <si>
    <t>STM32</t>
    <phoneticPr fontId="2" type="noConversion"/>
  </si>
  <si>
    <t>7seg 4자리</t>
    <phoneticPr fontId="2" type="noConversion"/>
  </si>
  <si>
    <t>저항</t>
    <phoneticPr fontId="2" type="noConversion"/>
  </si>
  <si>
    <t>USBC 커넥터</t>
    <phoneticPr fontId="2" type="noConversion"/>
  </si>
  <si>
    <t>충전칩</t>
    <phoneticPr fontId="2" type="noConversion"/>
  </si>
  <si>
    <t>전력 부스트</t>
    <phoneticPr fontId="2" type="noConversion"/>
  </si>
  <si>
    <t>인덕터</t>
    <phoneticPr fontId="2" type="noConversion"/>
  </si>
  <si>
    <t>CPLD 소켓</t>
    <phoneticPr fontId="2" type="noConversion"/>
  </si>
  <si>
    <t>LiPo 배터리</t>
    <phoneticPr fontId="2" type="noConversion"/>
  </si>
  <si>
    <t>https://www.eleparts.co.kr/goods/view?no=13025868</t>
  </si>
  <si>
    <t>타이머</t>
    <phoneticPr fontId="2" type="noConversion"/>
  </si>
  <si>
    <t>https://www.eleparts.co.kr/goods/view?no=4318310</t>
  </si>
  <si>
    <t>http://eleparts.co.kr/goods/view?no=17264981</t>
  </si>
  <si>
    <t>https://www.eleparts.co.kr/goods/view?no=4791</t>
  </si>
  <si>
    <t>https://www.eleparts.co.kr/goods/view?no=4793</t>
  </si>
  <si>
    <t>https://www.eleparts.co.kr/goods/view?no=4789</t>
  </si>
  <si>
    <t>https://www.eleparts.co.kr/goods/view?no=16914822</t>
  </si>
  <si>
    <t>캐패시터</t>
    <phoneticPr fontId="2" type="noConversion"/>
  </si>
  <si>
    <t>100uF 16V 105℃ KMG(5x11)</t>
    <phoneticPr fontId="2" type="noConversion"/>
  </si>
  <si>
    <t>https://www.eleparts.co.kr/goods/view?no=7068838</t>
  </si>
  <si>
    <t>총</t>
    <phoneticPr fontId="2" type="noConversion"/>
  </si>
  <si>
    <t>기판값</t>
    <phoneticPr fontId="2" type="noConversion"/>
  </si>
  <si>
    <t>기판</t>
    <phoneticPr fontId="2" type="noConversion"/>
  </si>
  <si>
    <t>0.96인치 I2C OLED 모듈-White</t>
  </si>
  <si>
    <t>https://www.eleparts.co.kr/goods/view?no=13784351</t>
  </si>
  <si>
    <t>PLCC-DIP-44PIN</t>
  </si>
  <si>
    <t>https://www.eleparts.co.kr/goods/view?no=4811</t>
  </si>
  <si>
    <t>https://www.devicemart.co.kr/goods/view?no=1058068</t>
  </si>
  <si>
    <t>[ALTERA] EPM3064ALC44-10(PLCC)</t>
  </si>
  <si>
    <t>https://www.eleparts.co.kr/goods/view?no=14612692</t>
  </si>
  <si>
    <t>STM32F030K6T6</t>
  </si>
  <si>
    <t>https://www.eleparts.co.kr/goods/view?no=18302011</t>
  </si>
  <si>
    <t>YD5641ARL</t>
  </si>
  <si>
    <t>WR201SE-W</t>
  </si>
  <si>
    <t>https://www.eleparts.co.kr/goods/view?no=8104628</t>
  </si>
  <si>
    <t>칩 LED 1206</t>
    <phoneticPr fontId="2" type="noConversion"/>
  </si>
  <si>
    <t>https://www.eleparts.co.kr/goods/view?no=12772516</t>
  </si>
  <si>
    <t>EA8105AT5R</t>
  </si>
  <si>
    <t>https://www.eleparts.co.kr/goods/view?no=10113313</t>
  </si>
  <si>
    <t>[UB917] Coms 603048 충전지(배터리), 리튬폴리머, 3.7V, 880mAh</t>
  </si>
  <si>
    <t>https://www.eleparts.co.kr/goods/view?no=12706127</t>
  </si>
  <si>
    <t>SK12D07VG6</t>
  </si>
  <si>
    <t>https://www.eleparts.co.kr/goods/view?no=25345</t>
  </si>
  <si>
    <t>Pro</t>
    <phoneticPr fontId="2" type="noConversion"/>
  </si>
  <si>
    <t>Classic</t>
    <phoneticPr fontId="2" type="noConversion"/>
  </si>
  <si>
    <t>53048-0210</t>
    <phoneticPr fontId="2" type="noConversion"/>
  </si>
  <si>
    <t xml:space="preserve">    C1</t>
  </si>
  <si>
    <t xml:space="preserve">    C2</t>
  </si>
  <si>
    <t xml:space="preserve">    J1</t>
  </si>
  <si>
    <t>&gt;  R1, R2</t>
  </si>
  <si>
    <t>&gt;  R3-R10</t>
  </si>
  <si>
    <t xml:space="preserve">    U1</t>
  </si>
  <si>
    <t xml:space="preserve">    U2</t>
  </si>
  <si>
    <t xml:space="preserve">    U3</t>
  </si>
  <si>
    <t xml:space="preserve">    U4</t>
  </si>
  <si>
    <t>CAP POL</t>
  </si>
  <si>
    <t>C</t>
  </si>
  <si>
    <t>BAT</t>
  </si>
  <si>
    <t>R</t>
  </si>
  <si>
    <t>NE555P</t>
  </si>
  <si>
    <t>74LS90</t>
  </si>
  <si>
    <t>74LS47</t>
  </si>
  <si>
    <t>D148A</t>
  </si>
  <si>
    <t>100u</t>
  </si>
  <si>
    <t>100n</t>
  </si>
  <si>
    <t>10k</t>
  </si>
  <si>
    <t>1k</t>
  </si>
  <si>
    <t xml:space="preserve">    BT1</t>
  </si>
  <si>
    <t>&gt;  C1-C3</t>
  </si>
  <si>
    <t xml:space="preserve">    D2</t>
  </si>
  <si>
    <t xml:space="preserve">    J2</t>
  </si>
  <si>
    <t xml:space="preserve">    L1</t>
  </si>
  <si>
    <t>&gt;  R3-R5, R8-R13, R15-R19</t>
  </si>
  <si>
    <t xml:space="preserve">    R6</t>
  </si>
  <si>
    <t xml:space="preserve">    R7</t>
  </si>
  <si>
    <t>&gt;  R14, R20</t>
  </si>
  <si>
    <t>&gt;  R21-R31</t>
  </si>
  <si>
    <t xml:space="preserve">    SW1</t>
  </si>
  <si>
    <t xml:space="preserve">    U5</t>
  </si>
  <si>
    <t>Battery_Cell</t>
  </si>
  <si>
    <t>LED</t>
  </si>
  <si>
    <t>USB_C_Receptacle_PowerOnly_6P</t>
  </si>
  <si>
    <t>Microsemi_FlashPro-JTAG-10</t>
  </si>
  <si>
    <t>L</t>
  </si>
  <si>
    <t>SW_SPDT</t>
  </si>
  <si>
    <t>SW_PUSH</t>
  </si>
  <si>
    <t>TP4056-42-ESOP8</t>
  </si>
  <si>
    <t>STM32F030K6Tx</t>
  </si>
  <si>
    <t>CA56-12CGKWA</t>
  </si>
  <si>
    <t>EPM3064ALC44-10N</t>
  </si>
  <si>
    <t>3.7V</t>
  </si>
  <si>
    <t>47u</t>
  </si>
  <si>
    <t>RED</t>
  </si>
  <si>
    <t>0.96inch OLED</t>
  </si>
  <si>
    <t>10u</t>
  </si>
  <si>
    <t>5K1</t>
  </si>
  <si>
    <t>1K5</t>
  </si>
  <si>
    <t>22k</t>
  </si>
  <si>
    <t>750R</t>
  </si>
  <si>
    <t>EA8105</t>
  </si>
  <si>
    <t xml:space="preserve">    U1socket</t>
    <phoneticPr fontId="2" type="noConversion"/>
  </si>
  <si>
    <t xml:space="preserve">    U2socket</t>
    <phoneticPr fontId="2" type="noConversion"/>
  </si>
  <si>
    <t xml:space="preserve">    U3socket</t>
    <phoneticPr fontId="2" type="noConversion"/>
  </si>
  <si>
    <t xml:space="preserve">    J5 OLED</t>
    <phoneticPr fontId="2" type="noConversion"/>
  </si>
  <si>
    <t xml:space="preserve">    BT1 conn</t>
    <phoneticPr fontId="2" type="noConversion"/>
  </si>
  <si>
    <t xml:space="preserve">    D1, D3-D7</t>
    <phoneticPr fontId="2" type="noConversion"/>
  </si>
  <si>
    <t xml:space="preserve">    SW2 SW3-SW5</t>
    <phoneticPr fontId="2" type="noConversion"/>
  </si>
  <si>
    <t>J1 BATT</t>
    <phoneticPr fontId="2" type="noConversion"/>
  </si>
  <si>
    <t>1기판당 개수</t>
    <phoneticPr fontId="2" type="noConversion"/>
  </si>
  <si>
    <t>부품종</t>
    <phoneticPr fontId="2" type="noConversion"/>
  </si>
  <si>
    <t>symbol</t>
    <phoneticPr fontId="2" type="noConversion"/>
  </si>
  <si>
    <t>Classic 기판 BOM</t>
    <phoneticPr fontId="2" type="noConversion"/>
  </si>
  <si>
    <t>Pro 기판 BOM</t>
    <phoneticPr fontId="2" type="noConversion"/>
  </si>
  <si>
    <t>o</t>
    <phoneticPr fontId="2" type="noConversion"/>
  </si>
  <si>
    <t>3k3 (변경)</t>
    <phoneticPr fontId="2" type="noConversion"/>
  </si>
  <si>
    <t>GREEN</t>
    <phoneticPr fontId="2" type="noConversion"/>
  </si>
  <si>
    <t>PLCC-44 socket</t>
    <phoneticPr fontId="2" type="noConversion"/>
  </si>
  <si>
    <t>미리 처리한 부품 리스트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</si>
</sst>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mm&quot;월&quot;\ dd&quot;일&quot;"/>
    <numFmt numFmtId="177" formatCode="_-[$$-409]* #,##0.00_ ;_-[$$-409]* \-#,##0.00\ ;_-[$$-409]* &quot;-&quot;??_ ;_-@_ "/>
    <numFmt numFmtId="178" formatCode="_-[$₩-412]* #,##0.0_-;\-[$₩-412]* #,##0.0_-;_-[$₩-412]* &quot;-&quot;??_-;_-@_-"/>
    <numFmt numFmtId="179" formatCode="_-[$₩-412]* #,##0_-;\-[$₩-412]* #,##0_-;_-[$₩-412]* &quot;-&quot;??_-;_-@_-"/>
  </numFmts>
  <fonts count="5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4"/>
      <color rgb="FF000000"/>
      <name val="맑은 고딕"/>
      <family val="3"/>
      <charset val="129"/>
    </font>
    <font>
      <u/>
      <sz val="11"/>
      <color theme="1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177" fontId="1" fillId="0" borderId="0" xfId="0" applyNumberFormat="1" applyFon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1" fillId="0" borderId="0" xfId="0" applyNumberFormat="1" applyFont="1">
      <alignment vertical="center"/>
    </xf>
    <xf numFmtId="179" fontId="1" fillId="0" borderId="0" xfId="0" applyNumberFormat="1" applyFont="1">
      <alignment vertical="center"/>
    </xf>
    <xf numFmtId="179" fontId="0" fillId="0" borderId="0" xfId="0" applyNumberFormat="1">
      <alignment vertical="center"/>
    </xf>
    <xf numFmtId="0" fontId="0" fillId="0" borderId="2" xfId="0" applyBorder="1">
      <alignment vertical="center"/>
    </xf>
    <xf numFmtId="179" fontId="0" fillId="0" borderId="2" xfId="0" applyNumberFormat="1" applyBorder="1">
      <alignment vertical="center"/>
    </xf>
    <xf numFmtId="0" fontId="1" fillId="0" borderId="3" xfId="0" applyFont="1" applyBorder="1">
      <alignment vertical="center"/>
    </xf>
    <xf numFmtId="179" fontId="0" fillId="2" borderId="3" xfId="0" applyNumberFormat="1" applyFill="1" applyBorder="1">
      <alignment vertical="center"/>
    </xf>
    <xf numFmtId="0" fontId="0" fillId="0" borderId="3" xfId="0" applyBorder="1">
      <alignment vertical="center"/>
    </xf>
    <xf numFmtId="0" fontId="1" fillId="0" borderId="8" xfId="0" applyFont="1" applyBorder="1">
      <alignment vertical="center"/>
    </xf>
    <xf numFmtId="0" fontId="0" fillId="0" borderId="8" xfId="0" applyBorder="1">
      <alignment vertical="center"/>
    </xf>
    <xf numFmtId="0" fontId="1" fillId="0" borderId="1" xfId="0" applyFont="1" applyBorder="1">
      <alignment vertical="center"/>
    </xf>
    <xf numFmtId="0" fontId="1" fillId="0" borderId="6" xfId="0" applyFont="1" applyBorder="1">
      <alignment vertical="center"/>
    </xf>
    <xf numFmtId="179" fontId="1" fillId="0" borderId="6" xfId="0" applyNumberFormat="1" applyFont="1" applyBorder="1">
      <alignment vertical="center"/>
    </xf>
    <xf numFmtId="179" fontId="1" fillId="0" borderId="7" xfId="0" applyNumberFormat="1" applyFont="1" applyBorder="1">
      <alignment vertical="center"/>
    </xf>
    <xf numFmtId="0" fontId="1" fillId="0" borderId="10" xfId="0" applyFont="1" applyBorder="1">
      <alignment vertical="center"/>
    </xf>
    <xf numFmtId="176" fontId="0" fillId="0" borderId="11" xfId="0" applyNumberFormat="1" applyBorder="1">
      <alignment vertical="center"/>
    </xf>
    <xf numFmtId="179" fontId="0" fillId="0" borderId="11" xfId="0" applyNumberFormat="1" applyBorder="1">
      <alignment vertical="center"/>
    </xf>
    <xf numFmtId="0" fontId="0" fillId="0" borderId="11" xfId="0" applyBorder="1">
      <alignment vertical="center"/>
    </xf>
    <xf numFmtId="179" fontId="0" fillId="0" borderId="12" xfId="0" applyNumberFormat="1" applyBorder="1">
      <alignment vertical="center"/>
    </xf>
    <xf numFmtId="0" fontId="1" fillId="0" borderId="13" xfId="0" applyFont="1" applyBorder="1">
      <alignment vertical="center"/>
    </xf>
    <xf numFmtId="176" fontId="0" fillId="0" borderId="14" xfId="0" applyNumberFormat="1" applyBorder="1">
      <alignment vertical="center"/>
    </xf>
    <xf numFmtId="179" fontId="0" fillId="0" borderId="14" xfId="0" applyNumberFormat="1" applyBorder="1">
      <alignment vertical="center"/>
    </xf>
    <xf numFmtId="0" fontId="1" fillId="0" borderId="14" xfId="0" applyFont="1" applyBorder="1">
      <alignment vertical="center"/>
    </xf>
    <xf numFmtId="179" fontId="0" fillId="0" borderId="15" xfId="0" applyNumberFormat="1" applyBorder="1">
      <alignment vertical="center"/>
    </xf>
    <xf numFmtId="0" fontId="0" fillId="0" borderId="14" xfId="0" applyBorder="1">
      <alignment vertical="center"/>
    </xf>
    <xf numFmtId="0" fontId="0" fillId="0" borderId="12" xfId="0" applyBorder="1">
      <alignment vertical="center"/>
    </xf>
    <xf numFmtId="0" fontId="0" fillId="0" borderId="15" xfId="0" applyBorder="1">
      <alignment vertical="center"/>
    </xf>
    <xf numFmtId="0" fontId="1" fillId="0" borderId="9" xfId="0" applyFont="1" applyBorder="1">
      <alignment vertical="center"/>
    </xf>
    <xf numFmtId="179" fontId="0" fillId="3" borderId="4" xfId="0" applyNumberFormat="1" applyFill="1" applyBorder="1">
      <alignment vertical="center"/>
    </xf>
    <xf numFmtId="0" fontId="4" fillId="0" borderId="0" xfId="1">
      <alignment vertical="center"/>
    </xf>
    <xf numFmtId="0" fontId="1" fillId="0" borderId="19" xfId="0" applyFont="1" applyBorder="1">
      <alignment vertical="center"/>
    </xf>
    <xf numFmtId="0" fontId="1" fillId="0" borderId="20" xfId="0" applyFont="1" applyBorder="1">
      <alignment vertical="center"/>
    </xf>
    <xf numFmtId="0" fontId="1" fillId="0" borderId="21" xfId="0" applyFont="1" applyBorder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0" fillId="0" borderId="24" xfId="0" applyBorder="1">
      <alignment vertical="center"/>
    </xf>
    <xf numFmtId="0" fontId="1" fillId="0" borderId="26" xfId="0" applyFont="1" applyBorder="1">
      <alignment vertical="center"/>
    </xf>
    <xf numFmtId="0" fontId="1" fillId="0" borderId="27" xfId="0" applyFont="1" applyBorder="1">
      <alignment vertical="center"/>
    </xf>
    <xf numFmtId="0" fontId="0" fillId="0" borderId="27" xfId="0" applyBorder="1">
      <alignment vertical="center"/>
    </xf>
    <xf numFmtId="0" fontId="0" fillId="0" borderId="29" xfId="0" applyBorder="1">
      <alignment vertical="center"/>
    </xf>
    <xf numFmtId="0" fontId="0" fillId="0" borderId="23" xfId="0" applyBorder="1">
      <alignment vertical="center"/>
    </xf>
    <xf numFmtId="0" fontId="1" fillId="0" borderId="31" xfId="0" applyFont="1" applyBorder="1">
      <alignment vertical="center"/>
    </xf>
    <xf numFmtId="178" fontId="0" fillId="0" borderId="32" xfId="0" applyNumberFormat="1" applyBorder="1">
      <alignment vertical="center"/>
    </xf>
    <xf numFmtId="0" fontId="0" fillId="0" borderId="33" xfId="0" applyBorder="1">
      <alignment vertical="center"/>
    </xf>
    <xf numFmtId="0" fontId="1" fillId="0" borderId="22" xfId="0" applyFont="1" applyBorder="1">
      <alignment vertical="center"/>
    </xf>
    <xf numFmtId="0" fontId="0" fillId="0" borderId="25" xfId="0" applyBorder="1">
      <alignment vertical="center"/>
    </xf>
    <xf numFmtId="0" fontId="0" fillId="0" borderId="28" xfId="0" applyBorder="1">
      <alignment vertical="center"/>
    </xf>
    <xf numFmtId="0" fontId="0" fillId="0" borderId="30" xfId="0" applyBorder="1">
      <alignment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29" xfId="0" applyFont="1" applyBorder="1">
      <alignment vertical="center"/>
    </xf>
  </cellXfs>
  <cellStyles count="2">
    <cellStyle name="표준" xfId="0" builtinId="0"/>
    <cellStyle name="하이퍼링크" xfId="1" builtinId="8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2DC68-5DD3-4F76-AB9E-DE5C60925570}">
  <dimension ref="A1:I46"/>
  <sheetViews>
    <sheetView tabSelected="1" topLeftCell="A18" workbookViewId="0">
      <selection activeCell="K47" sqref="K47"/>
    </sheetView>
  </sheetViews>
  <sheetFormatPr defaultRowHeight="16.5" x14ac:dyDescent="0.3"/>
  <cols>
    <col min="1" max="1" width="25.625" bestFit="1" customWidth="1"/>
    <col min="2" max="2" width="31.875" bestFit="1" customWidth="1"/>
    <col min="3" max="3" width="8.875" customWidth="1"/>
    <col min="4" max="4" width="12.75" customWidth="1"/>
    <col min="5" max="5" width="12.75" bestFit="1" customWidth="1"/>
    <col min="6" max="6" width="11.625" bestFit="1" customWidth="1"/>
    <col min="7" max="7" width="31.875" bestFit="1" customWidth="1"/>
    <col min="8" max="8" width="13.375" bestFit="1" customWidth="1"/>
    <col min="9" max="9" width="12.75" bestFit="1" customWidth="1"/>
    <col min="10" max="10" width="17.5" bestFit="1" customWidth="1"/>
  </cols>
  <sheetData>
    <row r="1" spans="1:4" x14ac:dyDescent="0.3">
      <c r="A1" s="54" t="s">
        <v>163</v>
      </c>
      <c r="B1" s="55"/>
      <c r="C1" s="55"/>
      <c r="D1" s="55"/>
    </row>
    <row r="2" spans="1:4" ht="17.25" thickBot="1" x14ac:dyDescent="0.35">
      <c r="A2" s="57"/>
      <c r="B2" s="58"/>
      <c r="C2" s="58"/>
      <c r="D2" s="58"/>
    </row>
    <row r="3" spans="1:4" x14ac:dyDescent="0.3">
      <c r="A3" s="37" t="s">
        <v>162</v>
      </c>
      <c r="B3" s="38" t="s">
        <v>161</v>
      </c>
      <c r="C3" s="38"/>
      <c r="D3" s="38" t="s">
        <v>160</v>
      </c>
    </row>
    <row r="4" spans="1:4" x14ac:dyDescent="0.3">
      <c r="A4" s="39" t="s">
        <v>98</v>
      </c>
      <c r="B4" s="40" t="s">
        <v>107</v>
      </c>
      <c r="C4" s="41" t="s">
        <v>115</v>
      </c>
      <c r="D4" s="41">
        <v>1</v>
      </c>
    </row>
    <row r="5" spans="1:4" x14ac:dyDescent="0.3">
      <c r="A5" s="39" t="s">
        <v>99</v>
      </c>
      <c r="B5" s="40" t="s">
        <v>108</v>
      </c>
      <c r="C5" s="41" t="s">
        <v>116</v>
      </c>
      <c r="D5" s="41">
        <v>1</v>
      </c>
    </row>
    <row r="6" spans="1:4" x14ac:dyDescent="0.3">
      <c r="A6" s="39" t="s">
        <v>159</v>
      </c>
      <c r="B6" s="40" t="s">
        <v>109</v>
      </c>
      <c r="C6" s="40"/>
      <c r="D6" s="41">
        <v>2</v>
      </c>
    </row>
    <row r="7" spans="1:4" x14ac:dyDescent="0.3">
      <c r="A7" s="39" t="s">
        <v>100</v>
      </c>
      <c r="B7" s="40" t="s">
        <v>109</v>
      </c>
      <c r="C7" s="40"/>
      <c r="D7" s="41">
        <v>1</v>
      </c>
    </row>
    <row r="8" spans="1:4" x14ac:dyDescent="0.3">
      <c r="A8" s="39" t="s">
        <v>101</v>
      </c>
      <c r="B8" s="40" t="s">
        <v>110</v>
      </c>
      <c r="C8" s="41" t="s">
        <v>117</v>
      </c>
      <c r="D8" s="41">
        <v>2</v>
      </c>
    </row>
    <row r="9" spans="1:4" x14ac:dyDescent="0.3">
      <c r="A9" s="39" t="s">
        <v>102</v>
      </c>
      <c r="B9" s="40" t="s">
        <v>110</v>
      </c>
      <c r="C9" s="41" t="s">
        <v>118</v>
      </c>
      <c r="D9" s="41">
        <v>8</v>
      </c>
    </row>
    <row r="10" spans="1:4" x14ac:dyDescent="0.3">
      <c r="A10" s="39" t="s">
        <v>103</v>
      </c>
      <c r="B10" s="40" t="s">
        <v>111</v>
      </c>
      <c r="C10" s="40"/>
      <c r="D10" s="41">
        <v>1</v>
      </c>
    </row>
    <row r="11" spans="1:4" x14ac:dyDescent="0.3">
      <c r="A11" s="39" t="s">
        <v>104</v>
      </c>
      <c r="B11" s="40" t="s">
        <v>112</v>
      </c>
      <c r="C11" s="40"/>
      <c r="D11" s="41">
        <v>1</v>
      </c>
    </row>
    <row r="12" spans="1:4" x14ac:dyDescent="0.3">
      <c r="A12" s="39" t="s">
        <v>105</v>
      </c>
      <c r="B12" s="40" t="s">
        <v>113</v>
      </c>
      <c r="C12" s="40"/>
      <c r="D12" s="41">
        <v>1</v>
      </c>
    </row>
    <row r="13" spans="1:4" x14ac:dyDescent="0.3">
      <c r="A13" s="39" t="s">
        <v>152</v>
      </c>
      <c r="B13" s="40" t="s">
        <v>111</v>
      </c>
      <c r="C13" s="40"/>
      <c r="D13" s="41">
        <v>1</v>
      </c>
    </row>
    <row r="14" spans="1:4" x14ac:dyDescent="0.3">
      <c r="A14" s="39" t="s">
        <v>153</v>
      </c>
      <c r="B14" s="40" t="s">
        <v>112</v>
      </c>
      <c r="C14" s="40"/>
      <c r="D14" s="41">
        <v>1</v>
      </c>
    </row>
    <row r="15" spans="1:4" x14ac:dyDescent="0.3">
      <c r="A15" s="39" t="s">
        <v>154</v>
      </c>
      <c r="B15" s="40" t="s">
        <v>113</v>
      </c>
      <c r="C15" s="40"/>
      <c r="D15" s="41">
        <v>1</v>
      </c>
    </row>
    <row r="16" spans="1:4" x14ac:dyDescent="0.3">
      <c r="A16" s="42" t="s">
        <v>106</v>
      </c>
      <c r="B16" s="43" t="s">
        <v>114</v>
      </c>
      <c r="C16" s="43"/>
      <c r="D16" s="44">
        <v>1</v>
      </c>
    </row>
    <row r="17" spans="1:9" x14ac:dyDescent="0.3">
      <c r="A17" s="47"/>
      <c r="B17" s="23"/>
      <c r="C17" s="23"/>
      <c r="D17" s="48"/>
    </row>
    <row r="18" spans="1:9" ht="17.25" thickBot="1" x14ac:dyDescent="0.35">
      <c r="A18" s="36"/>
      <c r="B18" s="13"/>
      <c r="C18" s="13"/>
      <c r="D18" s="49"/>
    </row>
    <row r="20" spans="1:9" ht="17.25" thickBot="1" x14ac:dyDescent="0.35"/>
    <row r="21" spans="1:9" x14ac:dyDescent="0.3">
      <c r="A21" s="54" t="s">
        <v>169</v>
      </c>
      <c r="B21" s="55"/>
      <c r="C21" s="55"/>
      <c r="D21" s="56"/>
      <c r="F21" s="54" t="s">
        <v>164</v>
      </c>
      <c r="G21" s="55"/>
      <c r="H21" s="55"/>
      <c r="I21" s="56"/>
    </row>
    <row r="22" spans="1:9" ht="17.25" thickBot="1" x14ac:dyDescent="0.35">
      <c r="A22" s="57"/>
      <c r="B22" s="58"/>
      <c r="C22" s="58"/>
      <c r="D22" s="59"/>
      <c r="F22" s="57"/>
      <c r="G22" s="58"/>
      <c r="H22" s="58"/>
      <c r="I22" s="59"/>
    </row>
    <row r="23" spans="1:9" x14ac:dyDescent="0.3">
      <c r="A23" s="37" t="s">
        <v>162</v>
      </c>
      <c r="B23" s="38" t="s">
        <v>161</v>
      </c>
      <c r="C23" s="38"/>
      <c r="D23" s="50" t="s">
        <v>160</v>
      </c>
      <c r="F23" s="37" t="s">
        <v>162</v>
      </c>
      <c r="G23" s="38" t="s">
        <v>161</v>
      </c>
      <c r="H23" s="38"/>
      <c r="I23" s="50" t="s">
        <v>160</v>
      </c>
    </row>
    <row r="24" spans="1:9" x14ac:dyDescent="0.3">
      <c r="A24" s="39" t="s">
        <v>156</v>
      </c>
      <c r="B24" s="40" t="s">
        <v>97</v>
      </c>
      <c r="C24" s="40" t="s">
        <v>165</v>
      </c>
      <c r="D24" s="51">
        <v>1</v>
      </c>
      <c r="F24" s="39" t="s">
        <v>156</v>
      </c>
      <c r="G24" s="40" t="s">
        <v>97</v>
      </c>
      <c r="H24" s="41" t="s">
        <v>142</v>
      </c>
      <c r="I24" s="51">
        <v>1</v>
      </c>
    </row>
    <row r="25" spans="1:9" x14ac:dyDescent="0.3">
      <c r="A25" s="39" t="s">
        <v>157</v>
      </c>
      <c r="B25" s="41" t="s">
        <v>132</v>
      </c>
      <c r="C25" s="41" t="s">
        <v>144</v>
      </c>
      <c r="D25" s="51">
        <v>6</v>
      </c>
      <c r="F25" s="46" t="s">
        <v>119</v>
      </c>
      <c r="G25" s="41" t="s">
        <v>131</v>
      </c>
      <c r="H25" s="41" t="s">
        <v>142</v>
      </c>
      <c r="I25" s="51">
        <v>1</v>
      </c>
    </row>
    <row r="26" spans="1:9" x14ac:dyDescent="0.3">
      <c r="A26" s="46" t="s">
        <v>121</v>
      </c>
      <c r="B26" s="41" t="s">
        <v>132</v>
      </c>
      <c r="C26" s="40" t="s">
        <v>167</v>
      </c>
      <c r="D26" s="51">
        <v>1</v>
      </c>
      <c r="F26" s="46" t="s">
        <v>120</v>
      </c>
      <c r="G26" s="41" t="s">
        <v>107</v>
      </c>
      <c r="H26" s="41" t="s">
        <v>143</v>
      </c>
      <c r="I26" s="51">
        <v>3</v>
      </c>
    </row>
    <row r="27" spans="1:9" x14ac:dyDescent="0.3">
      <c r="A27" s="46" t="s">
        <v>101</v>
      </c>
      <c r="B27" s="41" t="s">
        <v>110</v>
      </c>
      <c r="C27" s="41" t="s">
        <v>147</v>
      </c>
      <c r="D27" s="51">
        <v>2</v>
      </c>
      <c r="F27" s="39" t="s">
        <v>157</v>
      </c>
      <c r="G27" s="41" t="s">
        <v>132</v>
      </c>
      <c r="H27" s="41" t="s">
        <v>144</v>
      </c>
      <c r="I27" s="51">
        <v>6</v>
      </c>
    </row>
    <row r="28" spans="1:9" x14ac:dyDescent="0.3">
      <c r="A28" s="46" t="s">
        <v>124</v>
      </c>
      <c r="B28" s="41" t="s">
        <v>110</v>
      </c>
      <c r="C28" s="41" t="s">
        <v>148</v>
      </c>
      <c r="D28" s="51">
        <v>14</v>
      </c>
      <c r="F28" s="46" t="s">
        <v>121</v>
      </c>
      <c r="G28" s="41" t="s">
        <v>132</v>
      </c>
      <c r="H28" s="40" t="s">
        <v>167</v>
      </c>
      <c r="I28" s="51">
        <v>1</v>
      </c>
    </row>
    <row r="29" spans="1:9" x14ac:dyDescent="0.3">
      <c r="A29" s="46" t="s">
        <v>125</v>
      </c>
      <c r="B29" s="41" t="s">
        <v>110</v>
      </c>
      <c r="C29" s="40" t="s">
        <v>166</v>
      </c>
      <c r="D29" s="51">
        <v>1</v>
      </c>
      <c r="F29" s="46" t="s">
        <v>100</v>
      </c>
      <c r="G29" s="41" t="s">
        <v>133</v>
      </c>
      <c r="H29" s="40" t="s">
        <v>165</v>
      </c>
      <c r="I29" s="51">
        <v>1</v>
      </c>
    </row>
    <row r="30" spans="1:9" x14ac:dyDescent="0.3">
      <c r="A30" s="46" t="s">
        <v>126</v>
      </c>
      <c r="B30" s="41" t="s">
        <v>110</v>
      </c>
      <c r="C30" s="41" t="s">
        <v>150</v>
      </c>
      <c r="D30" s="51">
        <v>1</v>
      </c>
      <c r="F30" s="46" t="s">
        <v>122</v>
      </c>
      <c r="G30" s="41" t="s">
        <v>134</v>
      </c>
      <c r="H30" s="40" t="s">
        <v>165</v>
      </c>
      <c r="I30" s="51">
        <v>1</v>
      </c>
    </row>
    <row r="31" spans="1:9" x14ac:dyDescent="0.3">
      <c r="A31" s="46" t="s">
        <v>127</v>
      </c>
      <c r="B31" s="41" t="s">
        <v>110</v>
      </c>
      <c r="C31" s="41" t="s">
        <v>118</v>
      </c>
      <c r="D31" s="51">
        <v>2</v>
      </c>
      <c r="F31" s="39" t="s">
        <v>155</v>
      </c>
      <c r="G31" s="41" t="s">
        <v>145</v>
      </c>
      <c r="H31" s="40" t="s">
        <v>165</v>
      </c>
      <c r="I31" s="51">
        <v>1</v>
      </c>
    </row>
    <row r="32" spans="1:9" ht="17.25" thickBot="1" x14ac:dyDescent="0.35">
      <c r="A32" s="52" t="s">
        <v>128</v>
      </c>
      <c r="B32" s="45" t="s">
        <v>110</v>
      </c>
      <c r="C32" s="45" t="s">
        <v>117</v>
      </c>
      <c r="D32" s="53">
        <v>11</v>
      </c>
      <c r="F32" s="46" t="s">
        <v>123</v>
      </c>
      <c r="G32" s="41" t="s">
        <v>135</v>
      </c>
      <c r="H32" s="41" t="s">
        <v>146</v>
      </c>
      <c r="I32" s="51">
        <v>1</v>
      </c>
    </row>
    <row r="33" spans="6:9" x14ac:dyDescent="0.3">
      <c r="F33" s="46" t="s">
        <v>101</v>
      </c>
      <c r="G33" s="41" t="s">
        <v>110</v>
      </c>
      <c r="H33" s="41" t="s">
        <v>147</v>
      </c>
      <c r="I33" s="51">
        <v>2</v>
      </c>
    </row>
    <row r="34" spans="6:9" x14ac:dyDescent="0.3">
      <c r="F34" s="46" t="s">
        <v>124</v>
      </c>
      <c r="G34" s="41" t="s">
        <v>110</v>
      </c>
      <c r="H34" s="41" t="s">
        <v>148</v>
      </c>
      <c r="I34" s="51">
        <v>14</v>
      </c>
    </row>
    <row r="35" spans="6:9" x14ac:dyDescent="0.3">
      <c r="F35" s="46" t="s">
        <v>125</v>
      </c>
      <c r="G35" s="41" t="s">
        <v>110</v>
      </c>
      <c r="H35" s="41" t="s">
        <v>149</v>
      </c>
      <c r="I35" s="51">
        <v>1</v>
      </c>
    </row>
    <row r="36" spans="6:9" x14ac:dyDescent="0.3">
      <c r="F36" s="46" t="s">
        <v>126</v>
      </c>
      <c r="G36" s="41" t="s">
        <v>110</v>
      </c>
      <c r="H36" s="41" t="s">
        <v>150</v>
      </c>
      <c r="I36" s="51">
        <v>1</v>
      </c>
    </row>
    <row r="37" spans="6:9" x14ac:dyDescent="0.3">
      <c r="F37" s="46" t="s">
        <v>127</v>
      </c>
      <c r="G37" s="41" t="s">
        <v>110</v>
      </c>
      <c r="H37" s="41" t="s">
        <v>118</v>
      </c>
      <c r="I37" s="51">
        <v>2</v>
      </c>
    </row>
    <row r="38" spans="6:9" x14ac:dyDescent="0.3">
      <c r="F38" s="46" t="s">
        <v>128</v>
      </c>
      <c r="G38" s="41" t="s">
        <v>110</v>
      </c>
      <c r="H38" s="41" t="s">
        <v>117</v>
      </c>
      <c r="I38" s="51">
        <v>11</v>
      </c>
    </row>
    <row r="39" spans="6:9" x14ac:dyDescent="0.3">
      <c r="F39" s="46" t="s">
        <v>129</v>
      </c>
      <c r="G39" s="41" t="s">
        <v>136</v>
      </c>
      <c r="H39" s="40" t="s">
        <v>165</v>
      </c>
      <c r="I39" s="51">
        <v>1</v>
      </c>
    </row>
    <row r="40" spans="6:9" x14ac:dyDescent="0.3">
      <c r="F40" s="39" t="s">
        <v>158</v>
      </c>
      <c r="G40" s="41" t="s">
        <v>137</v>
      </c>
      <c r="H40" s="40" t="s">
        <v>165</v>
      </c>
      <c r="I40" s="51">
        <v>4</v>
      </c>
    </row>
    <row r="41" spans="6:9" x14ac:dyDescent="0.3">
      <c r="F41" s="46" t="s">
        <v>103</v>
      </c>
      <c r="G41" s="41" t="s">
        <v>151</v>
      </c>
      <c r="H41" s="40" t="s">
        <v>165</v>
      </c>
      <c r="I41" s="51">
        <v>1</v>
      </c>
    </row>
    <row r="42" spans="6:9" x14ac:dyDescent="0.3">
      <c r="F42" s="46" t="s">
        <v>104</v>
      </c>
      <c r="G42" s="41" t="s">
        <v>138</v>
      </c>
      <c r="H42" s="40" t="s">
        <v>165</v>
      </c>
      <c r="I42" s="51">
        <v>1</v>
      </c>
    </row>
    <row r="43" spans="6:9" x14ac:dyDescent="0.3">
      <c r="F43" s="46" t="s">
        <v>105</v>
      </c>
      <c r="G43" s="41" t="s">
        <v>141</v>
      </c>
      <c r="H43" s="40" t="s">
        <v>165</v>
      </c>
      <c r="I43" s="51">
        <v>1</v>
      </c>
    </row>
    <row r="44" spans="6:9" x14ac:dyDescent="0.3">
      <c r="F44" s="39" t="s">
        <v>154</v>
      </c>
      <c r="G44" s="40" t="s">
        <v>168</v>
      </c>
      <c r="H44" s="40" t="s">
        <v>165</v>
      </c>
      <c r="I44" s="51">
        <v>1</v>
      </c>
    </row>
    <row r="45" spans="6:9" x14ac:dyDescent="0.3">
      <c r="F45" s="46" t="s">
        <v>106</v>
      </c>
      <c r="G45" s="41" t="s">
        <v>139</v>
      </c>
      <c r="H45" s="40" t="s">
        <v>165</v>
      </c>
      <c r="I45" s="51">
        <v>1</v>
      </c>
    </row>
    <row r="46" spans="6:9" ht="17.25" thickBot="1" x14ac:dyDescent="0.35">
      <c r="F46" s="52" t="s">
        <v>130</v>
      </c>
      <c r="G46" s="45" t="s">
        <v>140</v>
      </c>
      <c r="H46" s="64" t="s">
        <v>165</v>
      </c>
      <c r="I46" s="53">
        <v>1</v>
      </c>
    </row>
  </sheetData>
  <mergeCells count="3">
    <mergeCell ref="A21:D22"/>
    <mergeCell ref="F21:I22"/>
    <mergeCell ref="A1:D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B46F7-E541-4D68-9C2F-840D4AE3A815}">
  <dimension ref="A1:K68"/>
  <sheetViews>
    <sheetView topLeftCell="A58" zoomScale="115" zoomScaleNormal="115" zoomScaleSheetLayoutView="100" workbookViewId="0">
      <selection activeCell="A69" sqref="A69:H114"/>
    </sheetView>
  </sheetViews>
  <sheetFormatPr defaultColWidth="9" defaultRowHeight="16.5" x14ac:dyDescent="0.3"/>
  <cols>
    <col min="1" max="1" width="24.5" bestFit="1" customWidth="1"/>
    <col min="2" max="2" width="13.625" customWidth="1"/>
    <col min="3" max="3" width="9.5" style="5" customWidth="1"/>
    <col min="4" max="4" width="9.875" style="4" customWidth="1"/>
    <col min="5" max="5" width="10.125" style="8" customWidth="1"/>
    <col min="6" max="6" width="14.5" customWidth="1"/>
    <col min="7" max="7" width="13.375" style="8" bestFit="1" customWidth="1"/>
    <col min="8" max="8" width="12.75" bestFit="1" customWidth="1"/>
    <col min="9" max="9" width="3.5" bestFit="1" customWidth="1"/>
    <col min="10" max="10" width="12.625" customWidth="1"/>
    <col min="11" max="11" width="12.5" customWidth="1"/>
  </cols>
  <sheetData>
    <row r="1" spans="1:9" x14ac:dyDescent="0.3">
      <c r="A1" s="60" t="s">
        <v>0</v>
      </c>
      <c r="B1" s="60"/>
      <c r="C1" s="60"/>
      <c r="D1" s="60"/>
      <c r="E1" s="60"/>
      <c r="F1" s="60"/>
      <c r="G1" s="60"/>
      <c r="H1" s="60"/>
      <c r="I1" s="60"/>
    </row>
    <row r="2" spans="1:9" x14ac:dyDescent="0.3">
      <c r="A2" s="1" t="s">
        <v>1</v>
      </c>
      <c r="B2" s="1" t="s">
        <v>2</v>
      </c>
      <c r="C2" s="6" t="s">
        <v>11</v>
      </c>
      <c r="D2" s="3" t="s">
        <v>10</v>
      </c>
      <c r="E2" s="7" t="s">
        <v>3</v>
      </c>
      <c r="F2" s="1" t="s">
        <v>4</v>
      </c>
      <c r="G2" s="7" t="s">
        <v>5</v>
      </c>
    </row>
    <row r="3" spans="1:9" x14ac:dyDescent="0.3">
      <c r="A3" s="1" t="s">
        <v>8</v>
      </c>
      <c r="B3" s="2">
        <v>46049</v>
      </c>
      <c r="C3" s="5">
        <v>1445.7</v>
      </c>
      <c r="D3" s="4">
        <v>2</v>
      </c>
      <c r="E3" s="8">
        <f>C3*D3</f>
        <v>2891.4</v>
      </c>
      <c r="F3">
        <v>1</v>
      </c>
      <c r="G3" s="8">
        <f>E3/F3</f>
        <v>2891.4</v>
      </c>
    </row>
    <row r="4" spans="1:9" x14ac:dyDescent="0.3">
      <c r="A4" s="1" t="s">
        <v>9</v>
      </c>
      <c r="B4" s="2">
        <v>46071</v>
      </c>
      <c r="C4" s="5">
        <v>1448.5</v>
      </c>
      <c r="D4" s="4">
        <v>2</v>
      </c>
      <c r="E4" s="8">
        <f>C4*D4</f>
        <v>2897</v>
      </c>
      <c r="F4" s="1">
        <v>1</v>
      </c>
      <c r="G4" s="8">
        <f>E4/F4</f>
        <v>2897</v>
      </c>
    </row>
    <row r="5" spans="1:9" x14ac:dyDescent="0.3">
      <c r="A5" s="1" t="s">
        <v>12</v>
      </c>
      <c r="B5" s="2">
        <v>46085</v>
      </c>
      <c r="E5" s="8">
        <v>75450</v>
      </c>
      <c r="F5">
        <v>8.4</v>
      </c>
      <c r="G5" s="8">
        <f>E5/F5</f>
        <v>8982.1428571428569</v>
      </c>
    </row>
    <row r="13" spans="1:9" x14ac:dyDescent="0.3">
      <c r="A13" s="1" t="s">
        <v>28</v>
      </c>
      <c r="B13" s="2">
        <v>46064</v>
      </c>
      <c r="E13" s="8">
        <v>2835</v>
      </c>
      <c r="F13">
        <v>5</v>
      </c>
      <c r="G13" s="8">
        <f>E13/F13</f>
        <v>567</v>
      </c>
    </row>
    <row r="14" spans="1:9" x14ac:dyDescent="0.3">
      <c r="A14" s="1" t="s">
        <v>16</v>
      </c>
      <c r="B14" s="2">
        <v>46051</v>
      </c>
      <c r="E14" s="8">
        <v>8460</v>
      </c>
      <c r="F14">
        <v>2</v>
      </c>
      <c r="G14" s="8">
        <f>E14/F14</f>
        <v>4230</v>
      </c>
    </row>
    <row r="15" spans="1:9" x14ac:dyDescent="0.3">
      <c r="A15" s="1" t="s">
        <v>13</v>
      </c>
      <c r="B15" s="2">
        <v>46071</v>
      </c>
      <c r="E15" s="8">
        <v>13700</v>
      </c>
      <c r="F15">
        <v>2</v>
      </c>
      <c r="G15" s="8">
        <f>E15/F15</f>
        <v>6850</v>
      </c>
    </row>
    <row r="16" spans="1:9" x14ac:dyDescent="0.3">
      <c r="A16" s="1" t="s">
        <v>14</v>
      </c>
      <c r="B16" s="2">
        <v>46064</v>
      </c>
      <c r="E16" s="8">
        <v>4300</v>
      </c>
      <c r="F16">
        <v>10</v>
      </c>
      <c r="G16" s="8">
        <f>E16/F16</f>
        <v>430</v>
      </c>
    </row>
    <row r="17" spans="1:7" x14ac:dyDescent="0.3">
      <c r="A17" s="1" t="s">
        <v>15</v>
      </c>
      <c r="B17" s="2">
        <v>46049</v>
      </c>
      <c r="E17" s="8">
        <v>77270</v>
      </c>
      <c r="F17">
        <v>1</v>
      </c>
      <c r="G17" s="8">
        <f>E17/F17</f>
        <v>77270</v>
      </c>
    </row>
    <row r="19" spans="1:7" x14ac:dyDescent="0.3">
      <c r="A19" s="1" t="s">
        <v>29</v>
      </c>
      <c r="D19"/>
    </row>
    <row r="20" spans="1:7" x14ac:dyDescent="0.3">
      <c r="A20" s="1" t="s">
        <v>30</v>
      </c>
      <c r="D20"/>
    </row>
    <row r="21" spans="1:7" x14ac:dyDescent="0.3">
      <c r="A21" s="1" t="s">
        <v>31</v>
      </c>
      <c r="D21"/>
    </row>
    <row r="22" spans="1:7" x14ac:dyDescent="0.3">
      <c r="D22"/>
    </row>
    <row r="23" spans="1:7" x14ac:dyDescent="0.3">
      <c r="D23"/>
    </row>
    <row r="24" spans="1:7" x14ac:dyDescent="0.3">
      <c r="D24">
        <v>31</v>
      </c>
    </row>
    <row r="25" spans="1:7" x14ac:dyDescent="0.3">
      <c r="A25" s="1" t="s">
        <v>32</v>
      </c>
      <c r="D25"/>
    </row>
    <row r="26" spans="1:7" x14ac:dyDescent="0.3">
      <c r="A26" s="1" t="s">
        <v>33</v>
      </c>
      <c r="B26" s="1" t="s">
        <v>34</v>
      </c>
      <c r="C26" s="5">
        <v>422</v>
      </c>
      <c r="D26">
        <v>1</v>
      </c>
      <c r="E26" s="8">
        <f t="shared" ref="E26:E37" si="0">C26*D26*1.1</f>
        <v>464.20000000000005</v>
      </c>
      <c r="G26" s="8">
        <f t="shared" ref="G26:G37" si="1">D26*$D$24</f>
        <v>31</v>
      </c>
    </row>
    <row r="27" spans="1:7" x14ac:dyDescent="0.3">
      <c r="A27" s="1" t="s">
        <v>35</v>
      </c>
      <c r="B27" s="1" t="s">
        <v>36</v>
      </c>
      <c r="C27" s="5">
        <v>1100</v>
      </c>
      <c r="D27">
        <v>1</v>
      </c>
      <c r="E27" s="8">
        <f t="shared" si="0"/>
        <v>1210</v>
      </c>
      <c r="G27" s="8">
        <f t="shared" si="1"/>
        <v>31</v>
      </c>
    </row>
    <row r="28" spans="1:7" x14ac:dyDescent="0.3">
      <c r="A28" s="1" t="s">
        <v>37</v>
      </c>
      <c r="B28" s="1" t="s">
        <v>38</v>
      </c>
      <c r="C28" s="5">
        <v>1408</v>
      </c>
      <c r="D28">
        <v>1</v>
      </c>
      <c r="E28" s="8">
        <f t="shared" si="0"/>
        <v>1548.8000000000002</v>
      </c>
      <c r="G28" s="8">
        <f t="shared" si="1"/>
        <v>31</v>
      </c>
    </row>
    <row r="29" spans="1:7" x14ac:dyDescent="0.3">
      <c r="A29" s="1" t="s">
        <v>40</v>
      </c>
      <c r="B29" s="1" t="s">
        <v>62</v>
      </c>
      <c r="C29" s="5">
        <v>310</v>
      </c>
      <c r="D29">
        <v>1</v>
      </c>
      <c r="E29" s="8">
        <f t="shared" si="0"/>
        <v>341</v>
      </c>
      <c r="F29" t="s">
        <v>63</v>
      </c>
      <c r="G29" s="8">
        <f t="shared" si="1"/>
        <v>31</v>
      </c>
    </row>
    <row r="30" spans="1:7" x14ac:dyDescent="0.3">
      <c r="A30" s="1" t="s">
        <v>46</v>
      </c>
      <c r="B30" s="1" t="s">
        <v>45</v>
      </c>
      <c r="C30" s="5">
        <v>64.55</v>
      </c>
      <c r="D30">
        <v>1</v>
      </c>
      <c r="E30" s="8">
        <f t="shared" si="0"/>
        <v>71.00500000000001</v>
      </c>
      <c r="F30" t="s">
        <v>66</v>
      </c>
      <c r="G30" s="8">
        <f t="shared" si="1"/>
        <v>31</v>
      </c>
    </row>
    <row r="31" spans="1:7" x14ac:dyDescent="0.3">
      <c r="A31" s="1" t="s">
        <v>47</v>
      </c>
      <c r="B31" s="1" t="s">
        <v>45</v>
      </c>
      <c r="C31" s="5">
        <v>50</v>
      </c>
      <c r="D31">
        <v>1</v>
      </c>
      <c r="E31" s="8">
        <f t="shared" si="0"/>
        <v>55.000000000000007</v>
      </c>
      <c r="F31" t="s">
        <v>65</v>
      </c>
      <c r="G31" s="8">
        <f t="shared" si="1"/>
        <v>31</v>
      </c>
    </row>
    <row r="32" spans="1:7" x14ac:dyDescent="0.3">
      <c r="A32" s="1" t="s">
        <v>48</v>
      </c>
      <c r="B32" s="1" t="s">
        <v>45</v>
      </c>
      <c r="C32" s="5">
        <v>32.729999999999997</v>
      </c>
      <c r="D32">
        <v>1</v>
      </c>
      <c r="E32" s="8">
        <f t="shared" si="0"/>
        <v>36.003</v>
      </c>
      <c r="F32" t="s">
        <v>67</v>
      </c>
      <c r="G32" s="8">
        <f t="shared" si="1"/>
        <v>31</v>
      </c>
    </row>
    <row r="33" spans="1:7" x14ac:dyDescent="0.3">
      <c r="A33" s="1" t="s">
        <v>41</v>
      </c>
      <c r="B33" s="1" t="s">
        <v>44</v>
      </c>
      <c r="C33" s="5">
        <f>3490/10/1.1</f>
        <v>317.27272727272725</v>
      </c>
      <c r="D33">
        <v>1</v>
      </c>
      <c r="E33" s="8">
        <f t="shared" si="0"/>
        <v>349</v>
      </c>
      <c r="G33" s="8">
        <f t="shared" si="1"/>
        <v>31</v>
      </c>
    </row>
    <row r="34" spans="1:7" x14ac:dyDescent="0.3">
      <c r="A34" s="1" t="s">
        <v>42</v>
      </c>
      <c r="B34" s="1" t="s">
        <v>43</v>
      </c>
      <c r="C34" s="5">
        <f>7980/20/1.1</f>
        <v>362.72727272727269</v>
      </c>
      <c r="D34">
        <v>2</v>
      </c>
      <c r="E34" s="8">
        <f t="shared" si="0"/>
        <v>798</v>
      </c>
      <c r="G34" s="8">
        <f t="shared" si="1"/>
        <v>62</v>
      </c>
    </row>
    <row r="35" spans="1:7" x14ac:dyDescent="0.3">
      <c r="A35" s="1" t="s">
        <v>70</v>
      </c>
      <c r="B35" s="1" t="s">
        <v>69</v>
      </c>
      <c r="C35" s="5">
        <v>30</v>
      </c>
      <c r="D35">
        <v>1</v>
      </c>
      <c r="E35" s="8">
        <f t="shared" si="0"/>
        <v>33</v>
      </c>
      <c r="F35" t="s">
        <v>71</v>
      </c>
      <c r="G35" s="8">
        <f t="shared" si="1"/>
        <v>31</v>
      </c>
    </row>
    <row r="36" spans="1:7" x14ac:dyDescent="0.3">
      <c r="D36"/>
      <c r="E36" s="8">
        <f t="shared" si="0"/>
        <v>0</v>
      </c>
      <c r="G36" s="8">
        <f t="shared" si="1"/>
        <v>0</v>
      </c>
    </row>
    <row r="37" spans="1:7" x14ac:dyDescent="0.3">
      <c r="A37" s="1" t="s">
        <v>73</v>
      </c>
      <c r="C37" s="6">
        <f>1108/1.1</f>
        <v>1007.2727272727271</v>
      </c>
      <c r="D37"/>
      <c r="E37" s="8">
        <f t="shared" si="0"/>
        <v>0</v>
      </c>
      <c r="G37" s="8">
        <f t="shared" si="1"/>
        <v>0</v>
      </c>
    </row>
    <row r="38" spans="1:7" x14ac:dyDescent="0.3">
      <c r="A38" s="1" t="s">
        <v>72</v>
      </c>
      <c r="D38"/>
      <c r="E38" s="8">
        <f>SUM(E25:E37)</f>
        <v>4906.0079999999998</v>
      </c>
      <c r="F38" s="8"/>
    </row>
    <row r="39" spans="1:7" x14ac:dyDescent="0.3">
      <c r="D39"/>
    </row>
    <row r="40" spans="1:7" x14ac:dyDescent="0.3">
      <c r="D40"/>
    </row>
    <row r="41" spans="1:7" x14ac:dyDescent="0.3">
      <c r="A41" s="1" t="s">
        <v>49</v>
      </c>
      <c r="D41"/>
    </row>
    <row r="42" spans="1:7" x14ac:dyDescent="0.3">
      <c r="A42" t="s">
        <v>75</v>
      </c>
      <c r="B42" s="1" t="s">
        <v>50</v>
      </c>
      <c r="C42" s="5">
        <v>2950</v>
      </c>
      <c r="D42">
        <v>1</v>
      </c>
      <c r="E42" s="8">
        <f t="shared" ref="E42:E60" si="2">C42*D42*1.1</f>
        <v>3245.0000000000005</v>
      </c>
      <c r="F42" t="s">
        <v>76</v>
      </c>
    </row>
    <row r="43" spans="1:7" x14ac:dyDescent="0.3">
      <c r="A43" t="s">
        <v>80</v>
      </c>
      <c r="B43" s="1" t="s">
        <v>51</v>
      </c>
      <c r="C43" s="5">
        <v>5000</v>
      </c>
      <c r="D43">
        <v>1</v>
      </c>
      <c r="E43" s="8">
        <f t="shared" si="2"/>
        <v>5500</v>
      </c>
      <c r="F43" t="s">
        <v>79</v>
      </c>
    </row>
    <row r="44" spans="1:7" x14ac:dyDescent="0.3">
      <c r="A44" t="s">
        <v>82</v>
      </c>
      <c r="B44" s="1" t="s">
        <v>52</v>
      </c>
      <c r="C44" s="5">
        <v>1054.55</v>
      </c>
      <c r="D44">
        <v>1</v>
      </c>
      <c r="E44" s="8">
        <f t="shared" si="2"/>
        <v>1160.0050000000001</v>
      </c>
      <c r="F44" t="s">
        <v>81</v>
      </c>
    </row>
    <row r="45" spans="1:7" x14ac:dyDescent="0.3">
      <c r="B45" s="1" t="s">
        <v>44</v>
      </c>
      <c r="D45">
        <v>1</v>
      </c>
      <c r="E45" s="8">
        <f t="shared" si="2"/>
        <v>0</v>
      </c>
    </row>
    <row r="46" spans="1:7" x14ac:dyDescent="0.3">
      <c r="A46" t="s">
        <v>84</v>
      </c>
      <c r="B46" s="1" t="s">
        <v>53</v>
      </c>
      <c r="C46" s="5">
        <v>864.55</v>
      </c>
      <c r="D46">
        <v>1</v>
      </c>
      <c r="E46" s="8">
        <f t="shared" si="2"/>
        <v>951.005</v>
      </c>
      <c r="F46" t="s">
        <v>83</v>
      </c>
    </row>
    <row r="47" spans="1:7" x14ac:dyDescent="0.3">
      <c r="A47" t="s">
        <v>85</v>
      </c>
      <c r="B47" s="1" t="s">
        <v>87</v>
      </c>
      <c r="C47" s="5">
        <v>50</v>
      </c>
      <c r="D47">
        <v>1</v>
      </c>
      <c r="E47" s="8">
        <f t="shared" si="2"/>
        <v>55.000000000000007</v>
      </c>
      <c r="F47" t="s">
        <v>86</v>
      </c>
    </row>
    <row r="48" spans="1:7" x14ac:dyDescent="0.3">
      <c r="B48" s="1" t="s">
        <v>54</v>
      </c>
      <c r="D48">
        <v>1</v>
      </c>
      <c r="E48" s="8">
        <f t="shared" si="2"/>
        <v>0</v>
      </c>
    </row>
    <row r="49" spans="1:11" x14ac:dyDescent="0.3">
      <c r="B49" s="1" t="s">
        <v>55</v>
      </c>
      <c r="C49" s="5">
        <v>102.73</v>
      </c>
      <c r="D49">
        <v>1</v>
      </c>
      <c r="E49" s="8">
        <f t="shared" si="2"/>
        <v>113.00300000000001</v>
      </c>
      <c r="F49" t="s">
        <v>61</v>
      </c>
    </row>
    <row r="50" spans="1:11" x14ac:dyDescent="0.3">
      <c r="B50" s="1" t="s">
        <v>56</v>
      </c>
      <c r="C50" s="5">
        <v>100</v>
      </c>
      <c r="D50">
        <v>1</v>
      </c>
      <c r="E50" s="8">
        <f t="shared" si="2"/>
        <v>110.00000000000001</v>
      </c>
      <c r="F50" t="s">
        <v>64</v>
      </c>
    </row>
    <row r="51" spans="1:11" x14ac:dyDescent="0.3">
      <c r="A51" t="s">
        <v>89</v>
      </c>
      <c r="B51" s="1" t="s">
        <v>57</v>
      </c>
      <c r="C51" s="5">
        <v>1354.55</v>
      </c>
      <c r="D51">
        <v>1</v>
      </c>
      <c r="E51" s="8">
        <f t="shared" si="2"/>
        <v>1490.0050000000001</v>
      </c>
      <c r="F51" t="s">
        <v>88</v>
      </c>
    </row>
    <row r="52" spans="1:11" x14ac:dyDescent="0.3">
      <c r="B52" s="1" t="s">
        <v>58</v>
      </c>
      <c r="C52" s="5">
        <v>172.73</v>
      </c>
      <c r="D52">
        <v>1</v>
      </c>
      <c r="E52" s="8">
        <f t="shared" si="2"/>
        <v>190.00300000000001</v>
      </c>
      <c r="F52" t="s">
        <v>68</v>
      </c>
    </row>
    <row r="53" spans="1:11" x14ac:dyDescent="0.3">
      <c r="A53" t="s">
        <v>77</v>
      </c>
      <c r="B53" s="1" t="s">
        <v>59</v>
      </c>
      <c r="C53" s="5">
        <v>515.46</v>
      </c>
      <c r="D53">
        <v>1</v>
      </c>
      <c r="E53" s="8">
        <f t="shared" si="2"/>
        <v>567.00600000000009</v>
      </c>
      <c r="F53" t="s">
        <v>78</v>
      </c>
    </row>
    <row r="54" spans="1:11" x14ac:dyDescent="0.3">
      <c r="A54" t="s">
        <v>91</v>
      </c>
      <c r="B54" s="1" t="s">
        <v>60</v>
      </c>
      <c r="C54" s="5">
        <v>2936.36</v>
      </c>
      <c r="D54">
        <v>1</v>
      </c>
      <c r="E54" s="8">
        <f t="shared" si="2"/>
        <v>3229.9960000000005</v>
      </c>
      <c r="F54" t="s">
        <v>90</v>
      </c>
    </row>
    <row r="55" spans="1:11" x14ac:dyDescent="0.3">
      <c r="A55" s="1" t="s">
        <v>97</v>
      </c>
      <c r="B55" s="1" t="s">
        <v>41</v>
      </c>
      <c r="C55" s="5">
        <v>130</v>
      </c>
      <c r="D55">
        <v>1</v>
      </c>
      <c r="E55" s="8">
        <f t="shared" si="2"/>
        <v>143</v>
      </c>
      <c r="F55" t="s">
        <v>94</v>
      </c>
    </row>
    <row r="56" spans="1:11" x14ac:dyDescent="0.3">
      <c r="A56" t="s">
        <v>93</v>
      </c>
      <c r="B56" s="1" t="s">
        <v>39</v>
      </c>
      <c r="C56" s="5">
        <v>38.18</v>
      </c>
      <c r="D56">
        <v>1</v>
      </c>
      <c r="E56" s="8">
        <f t="shared" si="2"/>
        <v>41.998000000000005</v>
      </c>
      <c r="F56" t="s">
        <v>92</v>
      </c>
    </row>
    <row r="57" spans="1:11" x14ac:dyDescent="0.3">
      <c r="D57"/>
      <c r="E57" s="8">
        <f t="shared" si="2"/>
        <v>0</v>
      </c>
    </row>
    <row r="58" spans="1:11" x14ac:dyDescent="0.3">
      <c r="B58" s="1" t="s">
        <v>74</v>
      </c>
      <c r="C58" s="5">
        <f>1697/1.1</f>
        <v>1542.7272727272725</v>
      </c>
      <c r="D58">
        <v>1</v>
      </c>
      <c r="E58" s="8">
        <f t="shared" si="2"/>
        <v>1697</v>
      </c>
    </row>
    <row r="59" spans="1:11" x14ac:dyDescent="0.3">
      <c r="D59"/>
      <c r="E59" s="8">
        <f t="shared" si="2"/>
        <v>0</v>
      </c>
    </row>
    <row r="60" spans="1:11" x14ac:dyDescent="0.3">
      <c r="D60"/>
      <c r="E60" s="8">
        <f t="shared" si="2"/>
        <v>0</v>
      </c>
    </row>
    <row r="61" spans="1:11" x14ac:dyDescent="0.3">
      <c r="A61" s="1" t="s">
        <v>72</v>
      </c>
      <c r="D61"/>
      <c r="E61" s="8">
        <f>SUM(E42:E60)</f>
        <v>18493.021000000001</v>
      </c>
    </row>
    <row r="62" spans="1:11" x14ac:dyDescent="0.3">
      <c r="D62"/>
      <c r="H62" s="1" t="s">
        <v>96</v>
      </c>
      <c r="I62">
        <v>31</v>
      </c>
      <c r="J62" s="8">
        <f>E38</f>
        <v>4906.0079999999998</v>
      </c>
      <c r="K62" s="8">
        <f>J62*I62</f>
        <v>152086.24799999999</v>
      </c>
    </row>
    <row r="63" spans="1:11" x14ac:dyDescent="0.3">
      <c r="D63"/>
      <c r="G63" s="7"/>
      <c r="H63" s="1" t="s">
        <v>95</v>
      </c>
      <c r="I63" s="1">
        <v>20</v>
      </c>
      <c r="J63" s="8">
        <f>E61</f>
        <v>18493.021000000001</v>
      </c>
      <c r="K63" s="8">
        <f>J63*I63</f>
        <v>369860.42000000004</v>
      </c>
    </row>
    <row r="64" spans="1:11" x14ac:dyDescent="0.3">
      <c r="A64" s="1"/>
      <c r="D64" s="35"/>
      <c r="H64" s="1" t="s">
        <v>72</v>
      </c>
      <c r="J64" s="8"/>
      <c r="K64" s="8">
        <f>K63+K62</f>
        <v>521946.66800000006</v>
      </c>
    </row>
    <row r="65" spans="1:4" x14ac:dyDescent="0.3">
      <c r="A65" s="1"/>
      <c r="D65" s="35"/>
    </row>
    <row r="66" spans="1:4" x14ac:dyDescent="0.3">
      <c r="A66" s="1"/>
      <c r="D66"/>
    </row>
    <row r="67" spans="1:4" x14ac:dyDescent="0.3">
      <c r="A67" s="1"/>
    </row>
    <row r="68" spans="1:4" x14ac:dyDescent="0.3">
      <c r="A68" s="1"/>
    </row>
  </sheetData>
  <mergeCells count="1">
    <mergeCell ref="A1:I1"/>
  </mergeCells>
  <phoneticPr fontId="2" type="noConversion"/>
  <pageMargins left="0.74805557727813721" right="0.74805557727813721" top="0.98430556058883667" bottom="0.98430556058883667" header="0.51152777671813965" footer="0.51152777671813965"/>
  <pageSetup paperSize="9" fitToWidth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L12"/>
  <sheetViews>
    <sheetView zoomScaleNormal="100" zoomScaleSheetLayoutView="100" workbookViewId="0">
      <selection activeCell="F5" sqref="F5"/>
    </sheetView>
  </sheetViews>
  <sheetFormatPr defaultColWidth="9" defaultRowHeight="16.5" x14ac:dyDescent="0.3"/>
  <cols>
    <col min="2" max="2" width="20.375" customWidth="1"/>
    <col min="3" max="3" width="9.875" bestFit="1" customWidth="1"/>
    <col min="4" max="4" width="11.875" customWidth="1"/>
    <col min="5" max="5" width="10" customWidth="1"/>
    <col min="6" max="6" width="11" customWidth="1"/>
    <col min="8" max="8" width="11" customWidth="1"/>
    <col min="9" max="9" width="16.875" customWidth="1"/>
    <col min="10" max="10" width="11.25" customWidth="1"/>
    <col min="11" max="11" width="15" style="8" bestFit="1" customWidth="1"/>
  </cols>
  <sheetData>
    <row r="1" spans="2:12" ht="17.25" thickBot="1" x14ac:dyDescent="0.35"/>
    <row r="2" spans="2:12" ht="37.5" customHeight="1" thickBot="1" x14ac:dyDescent="0.35">
      <c r="B2" s="61" t="s">
        <v>24</v>
      </c>
      <c r="C2" s="62"/>
      <c r="D2" s="62"/>
      <c r="E2" s="62"/>
      <c r="F2" s="62"/>
      <c r="G2" s="63"/>
      <c r="I2" s="61" t="s">
        <v>25</v>
      </c>
      <c r="J2" s="62"/>
      <c r="K2" s="62"/>
      <c r="L2" s="63"/>
    </row>
    <row r="3" spans="2:12" ht="17.25" thickBot="1" x14ac:dyDescent="0.35">
      <c r="B3" s="16" t="s">
        <v>1</v>
      </c>
      <c r="C3" s="17" t="s">
        <v>2</v>
      </c>
      <c r="D3" s="17" t="s">
        <v>3</v>
      </c>
      <c r="E3" s="17" t="s">
        <v>4</v>
      </c>
      <c r="F3" s="17" t="s">
        <v>5</v>
      </c>
      <c r="G3" s="19" t="s">
        <v>22</v>
      </c>
      <c r="I3" s="16" t="s">
        <v>1</v>
      </c>
      <c r="J3" s="17" t="s">
        <v>23</v>
      </c>
      <c r="K3" s="18" t="s">
        <v>26</v>
      </c>
      <c r="L3" s="19" t="s">
        <v>22</v>
      </c>
    </row>
    <row r="4" spans="2:12" x14ac:dyDescent="0.3">
      <c r="B4" s="14" t="s">
        <v>17</v>
      </c>
      <c r="F4" s="8"/>
      <c r="G4" s="9">
        <v>10</v>
      </c>
      <c r="I4" s="14" t="s">
        <v>17</v>
      </c>
      <c r="L4" s="9">
        <v>51</v>
      </c>
    </row>
    <row r="5" spans="2:12" x14ac:dyDescent="0.3">
      <c r="B5" s="20" t="s">
        <v>19</v>
      </c>
      <c r="C5" s="21">
        <v>46305</v>
      </c>
      <c r="D5" s="22">
        <v>104651</v>
      </c>
      <c r="E5" s="23">
        <v>10</v>
      </c>
      <c r="F5" s="22">
        <f>D5/E5</f>
        <v>10465.1</v>
      </c>
      <c r="G5" s="24"/>
      <c r="I5" s="20" t="s">
        <v>19</v>
      </c>
      <c r="J5" s="23">
        <v>51</v>
      </c>
      <c r="K5" s="22">
        <f>F5*J5</f>
        <v>533720.1</v>
      </c>
      <c r="L5" s="31"/>
    </row>
    <row r="6" spans="2:12" x14ac:dyDescent="0.3">
      <c r="B6" s="14" t="s">
        <v>20</v>
      </c>
      <c r="C6" s="2">
        <v>46330</v>
      </c>
      <c r="D6" s="8">
        <v>30914</v>
      </c>
      <c r="E6">
        <v>10</v>
      </c>
      <c r="F6" s="8">
        <f>D6/E6</f>
        <v>3091.4</v>
      </c>
      <c r="G6" s="10"/>
      <c r="I6" s="14" t="s">
        <v>20</v>
      </c>
      <c r="J6">
        <v>51</v>
      </c>
      <c r="K6" s="8">
        <f>F6*J6</f>
        <v>157661.4</v>
      </c>
      <c r="L6" s="9"/>
    </row>
    <row r="7" spans="2:12" x14ac:dyDescent="0.3">
      <c r="B7" s="25" t="s">
        <v>21</v>
      </c>
      <c r="C7" s="26">
        <v>46330</v>
      </c>
      <c r="D7" s="27">
        <v>87255</v>
      </c>
      <c r="E7" s="28">
        <v>5</v>
      </c>
      <c r="F7" s="27">
        <f>D7/E7</f>
        <v>17451</v>
      </c>
      <c r="G7" s="29"/>
      <c r="I7" s="25" t="s">
        <v>21</v>
      </c>
      <c r="J7" s="30">
        <v>15</v>
      </c>
      <c r="K7" s="27">
        <f>F7*J7</f>
        <v>261765</v>
      </c>
      <c r="L7" s="32"/>
    </row>
    <row r="8" spans="2:12" x14ac:dyDescent="0.3">
      <c r="B8" s="15"/>
      <c r="D8" s="8"/>
      <c r="F8" s="8"/>
      <c r="G8" s="10"/>
      <c r="I8" s="15"/>
      <c r="L8" s="9"/>
    </row>
    <row r="9" spans="2:12" x14ac:dyDescent="0.3">
      <c r="B9" s="20" t="s">
        <v>18</v>
      </c>
      <c r="C9" s="23"/>
      <c r="D9" s="22"/>
      <c r="E9" s="23"/>
      <c r="F9" s="22"/>
      <c r="G9" s="24"/>
      <c r="I9" s="20" t="s">
        <v>18</v>
      </c>
      <c r="J9" s="23"/>
      <c r="K9" s="22"/>
      <c r="L9" s="31"/>
    </row>
    <row r="10" spans="2:12" x14ac:dyDescent="0.3">
      <c r="B10" s="14" t="s">
        <v>6</v>
      </c>
      <c r="C10" s="2">
        <v>46313</v>
      </c>
      <c r="D10" s="8">
        <v>33417</v>
      </c>
      <c r="E10">
        <v>10</v>
      </c>
      <c r="F10" s="8">
        <f>D10/E10</f>
        <v>3341.7</v>
      </c>
      <c r="G10" s="10"/>
      <c r="I10" s="14" t="s">
        <v>6</v>
      </c>
      <c r="J10">
        <v>51</v>
      </c>
      <c r="K10" s="8">
        <f>F10*J10</f>
        <v>170426.69999999998</v>
      </c>
      <c r="L10" s="9"/>
    </row>
    <row r="11" spans="2:12" x14ac:dyDescent="0.3">
      <c r="B11" s="25" t="s">
        <v>7</v>
      </c>
      <c r="C11" s="26">
        <v>46338</v>
      </c>
      <c r="D11" s="27">
        <v>25604</v>
      </c>
      <c r="E11" s="30">
        <v>1</v>
      </c>
      <c r="F11" s="27">
        <f>D11/E11</f>
        <v>25604</v>
      </c>
      <c r="G11" s="29"/>
      <c r="I11" s="25" t="s">
        <v>7</v>
      </c>
      <c r="J11" s="30">
        <v>1</v>
      </c>
      <c r="K11" s="27">
        <f>F11*J11</f>
        <v>25604</v>
      </c>
      <c r="L11" s="32"/>
    </row>
    <row r="12" spans="2:12" ht="17.25" thickBot="1" x14ac:dyDescent="0.35">
      <c r="B12" s="33" t="s">
        <v>27</v>
      </c>
      <c r="C12" s="11"/>
      <c r="D12" s="12">
        <f>SUM(D5:D11)</f>
        <v>281841</v>
      </c>
      <c r="E12" s="13"/>
      <c r="F12" s="13"/>
      <c r="G12" s="34">
        <f>D12/G4</f>
        <v>28184.1</v>
      </c>
      <c r="I12" s="33" t="s">
        <v>27</v>
      </c>
      <c r="J12" s="11"/>
      <c r="K12" s="12">
        <f>SUM(K5:K11)</f>
        <v>1149177.2</v>
      </c>
      <c r="L12" s="34">
        <f>K12/$L$4</f>
        <v>22532.886274509801</v>
      </c>
    </row>
  </sheetData>
  <mergeCells count="2">
    <mergeCell ref="B2:G2"/>
    <mergeCell ref="I2:L2"/>
  </mergeCells>
  <phoneticPr fontId="2" type="noConversion"/>
  <pageMargins left="0.74805557727813721" right="0.74805557727813721" top="0.98430556058883667" bottom="0.98430556058883667" header="0.51152777671813965" footer="0.51152777671813965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134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2026-1 04.02 부품주문</vt:lpstr>
      <vt:lpstr>2026-1 회계내역</vt:lpstr>
      <vt:lpstr>저번학기 기반 예상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</dc:creator>
  <cp:lastModifiedBy>PARKGIHO</cp:lastModifiedBy>
  <cp:revision>9</cp:revision>
  <dcterms:created xsi:type="dcterms:W3CDTF">2025-10-10T01:25:38Z</dcterms:created>
  <dcterms:modified xsi:type="dcterms:W3CDTF">2026-05-04T00:21:46Z</dcterms:modified>
  <cp:version>1200.0100.01</cp:version>
</cp:coreProperties>
</file>